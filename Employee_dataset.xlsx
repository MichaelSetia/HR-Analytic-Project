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49A37C8F-DD21-9542-AE94-8EC3650E1DD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3" sheetId="4" r:id="rId1"/>
    <sheet name="Sheet1" sheetId="1" r:id="rId2"/>
    <sheet name="Description data" sheetId="3" r:id="rId3"/>
    <sheet name="SALARY" sheetId="2" r:id="rId4"/>
  </sheets>
  <calcPr calcId="18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N2" i="1"/>
  <c r="N4" i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D15" i="3"/>
  <c r="E11" i="3"/>
  <c r="E15" i="3"/>
  <c r="F11" i="3"/>
  <c r="F15" i="3"/>
  <c r="D11" i="3"/>
  <c r="B2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<sst xmlns="http://schemas.openxmlformats.org/spreadsheetml/2006/main" count="8279" uniqueCount="1960">
  <si>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</si>
  <si>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</si>
  <si>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</si>
  <si>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</si>
  <si>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</si>
  <si>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</si>
  <si>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</si>
  <si>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</si>
  <si>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</si>
  <si>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</si>
  <si>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</si>
  <si>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</si>
  <si>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</si>
  <si>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</si>
  <si>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</si>
  <si>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</si>
  <si>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</si>
  <si>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</si>
  <si>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</si>
  <si>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</si>
  <si>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</si>
  <si>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</si>
  <si>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</si>
  <si>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</si>
  <si>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</si>
  <si>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</si>
  <si>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</si>
  <si>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</si>
  <si>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</si>
  <si>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</si>
  <si>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</si>
  <si>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</si>
  <si>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</si>
  <si>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</si>
  <si>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</si>
  <si>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</si>
  <si>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</si>
  <si>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</si>
  <si>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</si>
  <si>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</si>
  <si>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</si>
  <si>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</si>
  <si>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</si>
  <si>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</si>
  <si>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</si>
  <si>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</si>
  <si>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</si>
  <si>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</si>
  <si>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</si>
  <si>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</si>
  <si>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</si>
  <si>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</si>
  <si>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</si>
  <si>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</si>
  <si>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</si>
  <si>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</si>
  <si>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</si>
  <si>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</si>
  <si>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</si>
  <si>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</si>
  <si>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</si>
  <si>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</si>
  <si>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</si>
  <si>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</si>
  <si>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</si>
  <si>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</si>
  <si>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</si>
  <si>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</si>
  <si>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</si>
  <si>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</si>
  <si>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</si>
  <si>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10/10/2020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</si>
  <si>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</si>
  <si>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</si>
  <si>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</si>
  <si>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</si>
  <si>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</si>
  <si>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</si>
  <si>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</si>
  <si>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</si>
  <si>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</si>
  <si>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</si>
  <si>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</si>
  <si>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</si>
  <si>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</si>
  <si>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</si>
  <si>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</si>
  <si>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</si>
  <si>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</si>
  <si>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</si>
  <si>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</si>
  <si>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</si>
  <si>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</si>
  <si>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</si>
  <si>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</si>
  <si>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</si>
  <si>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</si>
  <si>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</si>
  <si>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</si>
  <si>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</si>
  <si>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</si>
  <si>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</si>
  <si>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</si>
  <si>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</si>
  <si>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</si>
  <si>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</si>
  <si>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</si>
  <si>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</si>
  <si>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</si>
  <si>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</si>
  <si>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</si>
  <si>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</si>
  <si>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</si>
  <si>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</si>
  <si>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</si>
  <si>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</si>
  <si>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10/11/2023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</si>
  <si>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</si>
  <si>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</si>
  <si>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</si>
  <si>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</si>
  <si>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</si>
  <si>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</si>
  <si>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</si>
  <si>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</si>
  <si>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</si>
  <si>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</si>
  <si>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</si>
  <si>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</si>
  <si>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</si>
  <si>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</si>
  <si>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</si>
  <si>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</si>
  <si>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</si>
  <si>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</si>
  <si>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</si>
  <si>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</si>
  <si>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</si>
  <si>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</si>
  <si>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</si>
  <si>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</si>
  <si>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</si>
  <si>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</si>
  <si>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</si>
  <si>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</si>
  <si>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</si>
  <si>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</si>
  <si>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</si>
  <si>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</si>
  <si>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</si>
  <si>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</si>
  <si>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</si>
  <si>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</si>
  <si>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</si>
  <si>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</si>
  <si>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</si>
  <si>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</si>
  <si>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</si>
  <si>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</si>
  <si>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</si>
  <si>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</si>
  <si>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</si>
  <si>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</si>
  <si>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</si>
  <si>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</si>
  <si>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</si>
  <si>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</si>
  <si>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</si>
  <si>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</si>
  <si>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</si>
  <si>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</si>
  <si>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</si>
  <si>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11/11/2021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</si>
  <si>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</si>
  <si>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</si>
  <si>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</si>
  <si>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</si>
  <si>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</si>
  <si>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</si>
  <si>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</si>
  <si>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</si>
  <si>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</si>
  <si>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</si>
  <si>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</si>
  <si>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</si>
  <si>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</si>
  <si>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</si>
  <si>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</si>
  <si>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</si>
  <si>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</si>
  <si>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</si>
  <si>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</si>
  <si>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</si>
  <si>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</si>
  <si>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</si>
  <si>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</si>
  <si>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</si>
  <si>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</si>
  <si>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</si>
  <si>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</si>
  <si>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</si>
  <si>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</si>
  <si>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</si>
  <si>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</si>
  <si>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</si>
  <si>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</si>
  <si>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</si>
  <si>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</si>
  <si>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</si>
  <si>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</si>
  <si>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</si>
  <si>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</si>
  <si>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</si>
  <si>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</si>
  <si>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</si>
  <si>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</si>
  <si>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</si>
  <si>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</si>
  <si>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</si>
  <si>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</si>
  <si>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</si>
  <si>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</si>
  <si>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</si>
  <si>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</si>
  <si>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</si>
  <si>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</si>
  <si>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</si>
  <si>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</si>
  <si>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</si>
  <si>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</si>
  <si>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</si>
  <si>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</si>
  <si>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</si>
  <si>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</si>
  <si>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11/10/2024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</si>
  <si>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</si>
  <si>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</si>
  <si>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</si>
  <si>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</si>
  <si>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</si>
  <si>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</si>
  <si>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</si>
  <si>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</si>
  <si>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</si>
  <si>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</si>
  <si>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</si>
  <si>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</si>
  <si>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</si>
  <si>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</si>
  <si>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</si>
  <si>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</si>
  <si>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</si>
  <si>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</si>
  <si>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</si>
  <si>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</si>
  <si>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</si>
  <si>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</si>
  <si>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</si>
  <si>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</si>
  <si>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</si>
  <si>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</si>
  <si>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</si>
  <si>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</si>
  <si>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</si>
  <si>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</si>
  <si>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</si>
  <si>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</si>
  <si>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</si>
  <si>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</si>
  <si>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</si>
  <si>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</si>
  <si>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</si>
  <si>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</si>
  <si>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</si>
  <si>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</si>
  <si>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</si>
  <si>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</si>
  <si>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</si>
  <si>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</si>
  <si>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</si>
  <si>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</si>
  <si>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</si>
  <si>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</si>
  <si>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</si>
  <si>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</si>
  <si>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</si>
  <si>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</si>
  <si>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</si>
  <si>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</si>
  <si>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</si>
  <si>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</si>
  <si>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</si>
  <si>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</si>
  <si>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</si>
  <si>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</si>
  <si>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11/12/2023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</si>
  <si>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</si>
  <si>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</si>
  <si>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</si>
  <si>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</si>
  <si>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</si>
  <si>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</si>
  <si>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</si>
  <si>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</si>
  <si>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</si>
  <si>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</si>
  <si>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</si>
  <si>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</si>
  <si>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</si>
  <si>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</si>
  <si>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</si>
  <si>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</si>
  <si>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</si>
  <si>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</si>
  <si>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</si>
  <si>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</si>
  <si>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</si>
  <si>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</si>
  <si>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</si>
  <si>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</si>
  <si>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</si>
  <si>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</si>
  <si>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</si>
  <si>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</si>
  <si>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</si>
  <si>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</si>
  <si>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</si>
  <si>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</si>
  <si>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</si>
  <si>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</si>
  <si>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</si>
  <si>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</si>
  <si>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</si>
  <si>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</si>
  <si>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10/11/2022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</si>
  <si>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</si>
  <si>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</si>
  <si>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</si>
  <si>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</si>
  <si>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</si>
  <si>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</si>
  <si>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</si>
  <si>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</si>
  <si>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</si>
  <si>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</si>
  <si>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</si>
  <si>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</si>
  <si>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</si>
  <si>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</si>
  <si>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</si>
  <si>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</si>
  <si>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</si>
  <si>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</si>
  <si>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</si>
  <si>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</si>
  <si>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</si>
  <si>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</si>
  <si>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</si>
  <si>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</si>
  <si>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</si>
  <si>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</si>
  <si>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</si>
  <si>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</si>
  <si>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</si>
  <si>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</si>
  <si>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</si>
  <si>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</si>
  <si>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</si>
  <si>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</si>
  <si>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</si>
  <si>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</si>
  <si>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</si>
  <si>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</si>
  <si>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</si>
  <si>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</si>
  <si>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</si>
  <si>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</si>
  <si>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</si>
  <si>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</si>
  <si>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</si>
  <si>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</si>
  <si>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</si>
  <si>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</si>
  <si>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</si>
  <si>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</si>
  <si>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</si>
  <si>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</si>
  <si>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</si>
  <si>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</si>
  <si>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</si>
  <si>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</si>
  <si>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</si>
  <si>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</si>
  <si>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</si>
  <si>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</si>
  <si>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</si>
  <si>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</si>
  <si>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</si>
  <si>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</si>
  <si>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</si>
  <si>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</si>
  <si>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</si>
  <si>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</si>
  <si>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</si>
  <si>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</si>
  <si>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11/12/2024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</si>
  <si>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</si>
  <si>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</si>
  <si>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</si>
  <si>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</si>
  <si>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</si>
  <si>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</si>
  <si>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</si>
  <si>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</si>
  <si>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</si>
  <si>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</si>
  <si>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</si>
  <si>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</si>
  <si>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</si>
  <si>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</si>
  <si>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</si>
  <si>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</si>
  <si>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</si>
  <si>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</si>
  <si>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</si>
  <si>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</si>
  <si>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</si>
  <si>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</si>
  <si>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</si>
  <si>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</si>
  <si>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</si>
  <si>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</si>
  <si>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</si>
  <si>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</si>
  <si>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</si>
  <si>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</si>
  <si>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</si>
  <si>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</si>
  <si>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</si>
  <si>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</si>
  <si>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</si>
  <si>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</si>
  <si>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</si>
  <si>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</si>
  <si>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</si>
  <si>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</si>
  <si>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</si>
  <si>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</si>
  <si>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</si>
  <si>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</si>
  <si>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</si>
  <si>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</si>
  <si>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</si>
  <si>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</si>
  <si>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</si>
  <si>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</si>
  <si>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</si>
  <si>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</si>
  <si>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</si>
  <si>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</si>
  <si>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</si>
  <si>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</si>
  <si>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</si>
  <si>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</si>
  <si>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</si>
  <si>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</si>
  <si>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</si>
  <si>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</si>
  <si>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</si>
  <si>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</si>
  <si>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</si>
  <si>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</si>
  <si>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</si>
  <si>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</si>
  <si>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</si>
  <si>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</si>
  <si>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</si>
  <si>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</si>
  <si>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</si>
  <si>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</si>
  <si>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</si>
  <si>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</si>
  <si>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</si>
  <si>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</si>
  <si>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</si>
  <si>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</si>
  <si>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</si>
  <si>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</si>
  <si>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</si>
  <si>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</si>
  <si>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</si>
  <si>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</si>
  <si>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</si>
  <si>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</si>
  <si>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</si>
  <si>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</si>
  <si>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</si>
  <si>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</si>
  <si>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</si>
  <si>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</si>
  <si>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</si>
  <si>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</si>
  <si>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</si>
  <si>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</si>
  <si>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</si>
  <si>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</si>
  <si>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</si>
  <si>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</si>
  <si>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</si>
  <si>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</si>
  <si>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</si>
  <si>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</si>
  <si>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</si>
  <si>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</si>
  <si>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</si>
  <si>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</si>
  <si>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</si>
  <si>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</si>
  <si>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</si>
  <si>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</si>
  <si>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</si>
  <si>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</si>
  <si>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10/11/2021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</si>
  <si>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</si>
  <si>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</si>
  <si>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</si>
  <si>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</si>
  <si>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</si>
  <si>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</si>
  <si>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</si>
  <si>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</si>
  <si>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</si>
  <si>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</si>
  <si>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</si>
  <si>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</si>
  <si>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</si>
  <si>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</si>
  <si>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</si>
  <si>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</si>
  <si>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</si>
  <si>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</si>
  <si>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</si>
  <si>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</si>
  <si>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</si>
  <si>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</si>
  <si>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</si>
  <si>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</si>
  <si>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</si>
  <si>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</si>
  <si>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</si>
  <si>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</si>
  <si>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</si>
  <si>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</si>
  <si>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</si>
  <si>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</si>
  <si>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</si>
  <si>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</si>
  <si>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</si>
  <si>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</si>
  <si>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</si>
  <si>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</si>
  <si>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</si>
  <si>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</si>
  <si>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</si>
  <si>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</si>
  <si>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</si>
  <si>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</si>
  <si>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</si>
  <si>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</si>
  <si>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</si>
  <si>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</si>
  <si>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</si>
  <si>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</si>
  <si>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</si>
  <si>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</si>
  <si>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</si>
  <si>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</si>
  <si>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</si>
  <si>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</si>
  <si>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</si>
  <si>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</si>
  <si>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</si>
  <si>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</si>
  <si>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</si>
  <si>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</si>
  <si>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</si>
  <si>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</si>
  <si>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</si>
  <si>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</si>
  <si>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</si>
  <si>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</si>
  <si>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</si>
  <si>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</si>
  <si>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</si>
  <si>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</si>
  <si>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</si>
  <si>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</si>
  <si>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</si>
  <si>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</si>
  <si>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</si>
  <si>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</si>
  <si>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</si>
  <si>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</si>
  <si>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</si>
  <si>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</si>
  <si>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12/12/2022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</si>
  <si>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</si>
  <si>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</si>
  <si>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</si>
  <si>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</si>
  <si>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</si>
  <si>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</si>
  <si>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</si>
  <si>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</si>
  <si>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</si>
  <si>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</si>
  <si>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</si>
  <si>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</si>
  <si>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</si>
  <si>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</si>
  <si>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</si>
  <si>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</si>
  <si>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</si>
  <si>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</si>
  <si>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</si>
  <si>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</si>
  <si>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</si>
  <si>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</si>
  <si>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</si>
  <si>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</si>
  <si>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</si>
  <si>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</si>
  <si>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</si>
  <si>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</si>
  <si>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</si>
  <si>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</si>
  <si>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</si>
  <si>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</si>
  <si>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</si>
  <si>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</si>
  <si>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</si>
  <si>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</si>
  <si>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</si>
  <si>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</si>
  <si>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</si>
  <si>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</si>
  <si>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</si>
  <si>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</si>
  <si>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</si>
  <si>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</si>
  <si>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</si>
  <si>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</si>
  <si>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</si>
  <si>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</si>
  <si>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</si>
  <si>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</si>
  <si>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</si>
  <si>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</si>
  <si>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</si>
  <si>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</si>
  <si>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</si>
  <si>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</si>
  <si>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</si>
  <si>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</si>
  <si>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</si>
  <si>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</si>
  <si>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</si>
  <si>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</si>
  <si>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</si>
  <si>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</si>
  <si>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</si>
  <si>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</si>
  <si>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</si>
  <si>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</si>
  <si>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</si>
  <si>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</si>
  <si>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</si>
  <si>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</si>
  <si>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</si>
  <si>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</si>
  <si>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</si>
  <si>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</si>
  <si>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</si>
  <si>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</si>
  <si>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</si>
  <si>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</si>
  <si>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</si>
  <si>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</si>
  <si>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</si>
  <si>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</si>
  <si>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</si>
  <si>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</si>
  <si>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</si>
  <si>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</si>
  <si>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</si>
  <si>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</si>
  <si>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</si>
  <si>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</si>
  <si>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</si>
  <si>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</si>
  <si>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</si>
  <si>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</si>
  <si>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</si>
  <si>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</si>
  <si>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</si>
  <si>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</si>
  <si>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</si>
  <si>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</si>
  <si>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</si>
  <si>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</si>
  <si>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</si>
  <si>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</si>
  <si>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</si>
  <si>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</si>
  <si>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</si>
  <si>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</si>
  <si>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</si>
  <si>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</si>
  <si>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</si>
  <si>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</si>
  <si>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</si>
  <si>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</si>
  <si>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11/12/2022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</si>
  <si>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</si>
  <si>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</si>
  <si>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</si>
  <si>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</si>
  <si>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</si>
  <si>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</si>
  <si>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</si>
  <si>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</si>
  <si>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</si>
  <si>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</si>
  <si>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</si>
  <si>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</si>
  <si>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</si>
  <si>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</si>
  <si>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</si>
  <si>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</si>
  <si>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</si>
  <si>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</si>
  <si>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</si>
  <si>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</si>
  <si>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</si>
  <si>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</si>
  <si>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</si>
  <si>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</si>
  <si>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</si>
  <si>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</si>
  <si>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</si>
  <si>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</si>
  <si>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</si>
  <si>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</si>
  <si>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</si>
  <si>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</si>
  <si>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</si>
  <si>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12/12/2023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</si>
  <si>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</si>
  <si>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</si>
  <si>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</si>
  <si>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</si>
  <si>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</si>
  <si>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</si>
  <si>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</si>
  <si>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</si>
  <si>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</si>
  <si>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</si>
  <si>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</si>
  <si>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</si>
  <si>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</si>
  <si>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</si>
  <si>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10/10/2022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</si>
  <si>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</si>
  <si>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</si>
  <si>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</si>
  <si>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</si>
  <si>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</si>
  <si>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</si>
  <si>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</si>
  <si>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</si>
  <si>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</si>
  <si>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</si>
  <si>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</si>
  <si>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</si>
  <si>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</si>
  <si>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</si>
  <si>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</si>
  <si>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</si>
  <si>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</si>
  <si>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</si>
  <si>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10/12/2023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</si>
  <si>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</si>
  <si>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</si>
  <si>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</si>
  <si>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</si>
  <si>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</si>
  <si>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</si>
  <si>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</si>
  <si>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</si>
  <si>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</si>
  <si>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</si>
  <si>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</si>
  <si>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</si>
  <si>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</si>
  <si>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</si>
  <si>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</si>
  <si>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</si>
  <si>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</si>
  <si>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</si>
  <si>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</si>
  <si>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</si>
  <si>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</si>
  <si>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</si>
  <si>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</si>
  <si>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</si>
  <si>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</si>
  <si>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</si>
  <si>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</si>
  <si>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</si>
  <si>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</si>
  <si>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</si>
  <si>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</si>
  <si>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</si>
  <si>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</si>
  <si>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</si>
  <si>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</si>
  <si>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</si>
  <si>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</si>
  <si>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</si>
  <si>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</si>
  <si>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</si>
  <si>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</si>
  <si>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</si>
  <si>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</si>
  <si>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</si>
  <si>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</si>
  <si>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</si>
  <si>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</si>
  <si>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</si>
  <si>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</si>
  <si>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</si>
  <si>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</si>
  <si>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</si>
  <si>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11/10/2021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</si>
  <si>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</si>
  <si>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</si>
  <si>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</si>
  <si>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</si>
  <si>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</si>
  <si>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</si>
  <si>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</si>
  <si>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</si>
  <si>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</si>
  <si>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</si>
  <si>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</si>
  <si>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</si>
  <si>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</si>
  <si>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</si>
  <si>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</si>
  <si>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</si>
  <si>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</si>
  <si>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</si>
  <si>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</si>
  <si>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</si>
  <si>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</si>
  <si>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</si>
  <si>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</si>
  <si>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</si>
  <si>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</si>
  <si>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</si>
  <si>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</si>
  <si>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</si>
  <si>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</si>
  <si>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</si>
  <si>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</si>
  <si>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</si>
  <si>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</si>
  <si>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</si>
  <si>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</si>
  <si>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</si>
  <si>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12/10/2024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</si>
  <si>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</si>
  <si>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</si>
  <si>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</si>
  <si>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</si>
  <si>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</si>
  <si>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</si>
  <si>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</si>
  <si>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</si>
  <si>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</si>
  <si>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11/11/2024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</si>
  <si>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</si>
  <si>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</si>
  <si>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</si>
  <si>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</si>
  <si>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</si>
  <si>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</si>
  <si>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</si>
  <si>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</si>
  <si>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</si>
  <si>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</si>
  <si>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</si>
  <si>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</si>
  <si>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</si>
  <si>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</si>
  <si>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</si>
  <si>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</si>
  <si>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</si>
  <si>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</si>
  <si>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</si>
  <si>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</si>
  <si>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</si>
  <si>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</si>
  <si>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</si>
  <si>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</si>
  <si>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</si>
  <si>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</si>
  <si>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</si>
  <si>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</si>
  <si>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</si>
  <si>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</si>
  <si>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</si>
  <si>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</si>
  <si>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</si>
  <si>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</si>
  <si>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</si>
  <si>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</si>
  <si>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</si>
  <si>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</si>
  <si>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</si>
  <si>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</si>
  <si>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</si>
  <si>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</si>
  <si>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</si>
  <si>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</si>
  <si>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</si>
  <si>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</si>
  <si>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</si>
  <si>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</si>
  <si>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</si>
  <si>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</si>
  <si>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</si>
  <si>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</si>
  <si>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</si>
  <si>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</si>
  <si>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</si>
  <si>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</si>
  <si>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</si>
  <si>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</si>
  <si>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</si>
  <si>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</si>
  <si>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</si>
  <si>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</si>
  <si>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</si>
  <si>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</si>
  <si>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</si>
  <si>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</si>
  <si>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</si>
  <si>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11/10/2023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</si>
  <si>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</si>
  <si>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</si>
  <si>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</si>
  <si>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</si>
  <si>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</si>
  <si>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</si>
  <si>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</si>
  <si>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</si>
  <si>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</si>
  <si>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</si>
  <si>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</si>
  <si>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</si>
  <si>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</si>
  <si>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</si>
  <si>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</si>
  <si>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</si>
  <si>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</si>
  <si>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</si>
  <si>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</si>
  <si>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</si>
  <si>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</si>
  <si>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</si>
  <si>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</si>
  <si>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</si>
  <si>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</si>
  <si>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</si>
  <si>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</si>
  <si>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</si>
  <si>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</si>
  <si>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</si>
  <si>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</si>
  <si>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</si>
  <si>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</si>
  <si>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</si>
  <si>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</si>
  <si>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</si>
  <si>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</si>
  <si>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</si>
  <si>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</si>
  <si>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</si>
  <si>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</si>
  <si>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</si>
  <si>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</si>
  <si>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</si>
  <si>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</si>
  <si>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</si>
  <si>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</si>
  <si>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</si>
  <si>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</si>
  <si>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</si>
  <si>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</si>
  <si>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</si>
  <si>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</si>
  <si>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</si>
  <si>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</si>
  <si>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</si>
  <si>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</si>
  <si>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</si>
  <si>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</si>
  <si>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</si>
  <si>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</si>
  <si>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</si>
  <si>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</si>
  <si>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</si>
  <si>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</si>
  <si>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</si>
  <si>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</si>
  <si>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</si>
  <si>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</si>
  <si>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</si>
  <si>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</si>
  <si>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</si>
  <si>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</si>
  <si>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</si>
  <si>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</si>
  <si>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</si>
  <si>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</si>
  <si>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</si>
  <si>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</si>
  <si>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10/10/2023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</si>
  <si>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</si>
  <si>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</si>
  <si>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</si>
  <si>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</si>
  <si>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</si>
  <si>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</si>
  <si>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</si>
  <si>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</si>
  <si>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</si>
  <si>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</si>
  <si>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</si>
  <si>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</si>
  <si>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</si>
  <si>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</si>
  <si>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</si>
  <si>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</si>
  <si>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</si>
  <si>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</si>
  <si>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</si>
  <si>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</si>
  <si>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</si>
  <si>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</si>
  <si>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</si>
  <si>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</si>
  <si>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</si>
  <si>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</si>
  <si>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</si>
  <si>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</si>
  <si>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</si>
  <si>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</si>
  <si>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</si>
  <si>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</si>
  <si>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</si>
  <si>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</si>
  <si>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</si>
  <si>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</si>
  <si>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</si>
  <si>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</si>
  <si>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</si>
  <si>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</si>
  <si>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</si>
  <si>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</si>
  <si>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</si>
  <si>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</si>
  <si>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</si>
  <si>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</si>
  <si>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</si>
  <si>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</si>
  <si>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</si>
  <si>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</si>
  <si>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</si>
  <si>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</si>
  <si>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</si>
  <si>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</si>
  <si>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</si>
  <si>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</si>
  <si>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</si>
  <si>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</si>
  <si>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</si>
  <si>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</si>
  <si>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</si>
  <si>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</si>
  <si>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</si>
  <si>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</si>
  <si>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</si>
  <si>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</si>
  <si>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</si>
  <si>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</si>
  <si>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</si>
  <si>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</si>
  <si>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</si>
  <si>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</si>
  <si>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</si>
  <si>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</si>
  <si>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</si>
  <si>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</si>
  <si>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</si>
  <si>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</si>
  <si>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</si>
  <si>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</si>
  <si>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</si>
  <si>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</si>
  <si>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</si>
  <si>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</si>
  <si>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</si>
  <si>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</si>
  <si>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</si>
  <si>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</si>
  <si>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</si>
  <si>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</si>
  <si>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</si>
  <si>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</si>
  <si>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</si>
  <si>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</si>
  <si>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</si>
  <si>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</si>
  <si>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</si>
  <si>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</si>
  <si>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</si>
  <si>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</si>
  <si>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</si>
  <si>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</si>
  <si>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</si>
  <si>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</si>
  <si>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</si>
  <si>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</si>
  <si>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</si>
  <si>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</si>
  <si>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</si>
  <si>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</si>
  <si>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</si>
  <si>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</si>
  <si>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</si>
  <si>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</si>
  <si>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</si>
  <si>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</si>
  <si>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</si>
  <si>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</si>
  <si>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</si>
  <si>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</si>
  <si>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11/11/2022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</si>
  <si>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</si>
  <si>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</si>
  <si>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</si>
  <si>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</si>
  <si>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</si>
  <si>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</si>
  <si>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</si>
  <si>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</si>
  <si>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</si>
  <si>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</si>
  <si>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</si>
  <si>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</si>
  <si>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</si>
  <si>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</si>
  <si>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</si>
  <si>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</si>
  <si>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</si>
  <si>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</si>
  <si>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</si>
  <si>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</si>
  <si>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</si>
  <si>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</si>
  <si>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</si>
  <si>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</si>
  <si>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</si>
  <si>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</si>
  <si>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</si>
  <si>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</si>
  <si>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</si>
  <si>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</si>
  <si>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</si>
  <si>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</si>
  <si>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</si>
  <si>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</si>
  <si>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</si>
  <si>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</si>
  <si>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</si>
  <si>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</si>
  <si>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</si>
  <si>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</si>
  <si>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</si>
  <si>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</si>
  <si>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</si>
  <si>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</si>
  <si>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</si>
  <si>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</si>
  <si>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</si>
  <si>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</si>
  <si>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</si>
  <si>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</si>
  <si>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</si>
  <si>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</si>
  <si>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</si>
  <si>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</si>
  <si>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</si>
  <si>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</si>
  <si>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</si>
  <si>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</si>
  <si>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</si>
  <si>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</si>
  <si>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</si>
  <si>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</si>
  <si>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</si>
  <si>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</si>
  <si>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</si>
  <si>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</si>
  <si>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</si>
  <si>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</si>
  <si>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</si>
  <si>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</si>
  <si>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</si>
  <si>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</si>
  <si>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</si>
  <si>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</si>
  <si>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</si>
  <si>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</si>
  <si>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</si>
  <si>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</si>
  <si>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</si>
  <si>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</si>
  <si>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</si>
  <si>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</si>
  <si>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</si>
  <si>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</si>
  <si>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</si>
  <si>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</si>
  <si>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</si>
  <si>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</si>
  <si>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</si>
  <si>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</si>
  <si>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</si>
  <si>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</si>
  <si>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</si>
  <si>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</si>
  <si>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</si>
  <si>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</si>
  <si>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</si>
  <si>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</si>
  <si>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</si>
  <si>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</si>
  <si>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</si>
  <si>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</si>
  <si>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</si>
  <si>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</si>
  <si>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</si>
  <si>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</si>
  <si>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</si>
  <si>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</si>
  <si>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</si>
  <si>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</si>
  <si>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10/11/2024</t>
  </si>
  <si>
    <t>EMP1739</t>
  </si>
  <si>
    <t>EMP1740</t>
  </si>
  <si>
    <t>6/29/2020</t>
  </si>
  <si>
    <t>EMP1741</t>
  </si>
  <si>
    <t>5/21/2021</t>
  </si>
  <si>
    <t>EMP1742</t>
  </si>
  <si>
    <t>12/11/2021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</si>
  <si>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</si>
  <si>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</si>
  <si>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</si>
  <si>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</si>
  <si>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</si>
  <si>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</si>
  <si>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</si>
  <si>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</si>
  <si>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</si>
  <si>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</si>
  <si>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</si>
  <si>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</si>
  <si>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</si>
  <si>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</si>
  <si>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</si>
  <si>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</si>
  <si>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</si>
  <si>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</si>
  <si>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</si>
  <si>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</si>
  <si>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</si>
  <si>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</si>
  <si>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</si>
  <si>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</si>
  <si>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</si>
  <si>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</si>
  <si>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</si>
  <si>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</si>
  <si>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</si>
  <si>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</si>
  <si>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</si>
  <si>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</si>
  <si>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</si>
  <si>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</si>
  <si>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</si>
  <si>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</si>
  <si>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</si>
  <si>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</si>
  <si>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</si>
  <si>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</si>
  <si>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</si>
  <si>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</si>
  <si>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</si>
  <si>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</si>
  <si>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12/12/2024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</si>
  <si>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</si>
  <si>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</si>
  <si>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</si>
  <si>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</si>
  <si>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</si>
  <si>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</si>
  <si>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</si>
  <si>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</si>
  <si>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</si>
  <si>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</si>
  <si>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</si>
  <si>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</si>
  <si>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</si>
  <si>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</si>
  <si>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</si>
  <si>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</si>
  <si>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</si>
  <si>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</si>
  <si>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</si>
  <si>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</si>
  <si>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</si>
  <si>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</si>
  <si>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</si>
  <si>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</si>
  <si>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</si>
  <si>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</si>
  <si>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</si>
  <si>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</si>
  <si>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</si>
  <si>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</si>
  <si>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</si>
  <si>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</si>
  <si>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</si>
  <si>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</si>
  <si>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</si>
  <si>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</si>
  <si>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</si>
  <si>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</si>
  <si>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</si>
  <si>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</si>
  <si>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</si>
  <si>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</si>
  <si>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</si>
  <si>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</si>
  <si>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</si>
  <si>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</si>
  <si>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</si>
  <si>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</si>
  <si>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</si>
  <si>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</si>
  <si>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</si>
  <si>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</si>
  <si>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</si>
  <si>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</si>
  <si>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</si>
  <si>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</si>
  <si>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</si>
  <si>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</si>
  <si>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</si>
  <si>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</si>
  <si>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</si>
  <si>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</si>
  <si>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</si>
  <si>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</si>
  <si>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</si>
  <si>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</si>
  <si>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</si>
  <si>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</si>
  <si>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</si>
  <si>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</si>
  <si>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</si>
  <si>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</si>
  <si>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</si>
  <si>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</si>
  <si>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</si>
  <si>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</si>
  <si>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</si>
  <si>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</si>
  <si>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</si>
  <si>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</si>
  <si>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</si>
  <si>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</si>
  <si>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</si>
  <si>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</si>
  <si>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</si>
  <si>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</si>
  <si>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12/12/2020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</si>
  <si>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</si>
  <si>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</si>
  <si>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</si>
  <si>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</si>
  <si>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</si>
  <si>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</si>
  <si>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</si>
  <si>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</si>
  <si>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</si>
  <si>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</si>
  <si>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</si>
  <si>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</si>
  <si>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</si>
  <si>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</si>
  <si>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</si>
  <si>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</si>
  <si>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</si>
  <si>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</si>
  <si>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</si>
  <si>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</si>
  <si>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</si>
  <si>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</si>
  <si>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</si>
  <si>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</si>
  <si>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</si>
  <si>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</si>
  <si>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</si>
  <si>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</si>
  <si>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</si>
  <si>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</si>
  <si>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</si>
  <si>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</si>
  <si>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</si>
  <si>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</si>
  <si>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</si>
  <si>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</si>
  <si>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</si>
  <si>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</si>
  <si>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</si>
  <si>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</si>
  <si>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</si>
  <si>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</si>
  <si>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</si>
  <si>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</si>
  <si>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</si>
  <si>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</si>
  <si>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</si>
  <si>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</si>
  <si>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</si>
  <si>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</si>
  <si>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</si>
  <si>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</si>
  <si>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</si>
  <si>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</si>
  <si>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</si>
  <si>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</si>
  <si>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</si>
  <si>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</si>
  <si>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</si>
  <si>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</si>
  <si>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</si>
  <si>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</si>
  <si>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</si>
  <si>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</si>
  <si>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</si>
  <si>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</si>
  <si>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</si>
  <si>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</si>
  <si>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</si>
  <si>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</si>
  <si>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</si>
  <si>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</si>
  <si>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</si>
  <si>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</si>
  <si>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</si>
  <si>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</si>
  <si>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</si>
  <si>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</si>
  <si>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</si>
  <si>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</si>
  <si>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</si>
  <si>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</si>
  <si>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</si>
  <si>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</si>
  <si>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</si>
  <si>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</si>
  <si>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</si>
  <si>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</si>
  <si>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</si>
  <si>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</si>
  <si>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</si>
  <si>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</si>
  <si>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</si>
  <si>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</si>
  <si>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</si>
  <si>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</si>
  <si>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</si>
  <si>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</si>
  <si>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</si>
  <si>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</si>
  <si>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</si>
  <si>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</si>
  <si>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</si>
  <si>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</si>
  <si>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</si>
  <si>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</si>
  <si>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</si>
  <si>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</si>
  <si>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</si>
  <si>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</si>
  <si>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</si>
  <si>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</si>
  <si>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</si>
  <si>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10/10/2021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</si>
  <si>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</si>
  <si>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</si>
  <si>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</si>
  <si>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</si>
  <si>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</si>
  <si>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</si>
  <si>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</si>
  <si>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</si>
  <si>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</si>
  <si>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10/12/2021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</si>
  <si>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</si>
  <si>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</si>
  <si>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</si>
  <si>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</si>
  <si>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</si>
  <si>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</si>
  <si>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</si>
  <si>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</si>
  <si>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</si>
  <si>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</si>
  <si>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</si>
  <si>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</si>
  <si>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</si>
  <si>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</si>
  <si>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</si>
  <si>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</si>
  <si>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</si>
  <si>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</si>
  <si>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</si>
  <si>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</si>
  <si>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</si>
  <si>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</si>
  <si>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</si>
  <si>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</si>
  <si>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</si>
  <si>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</si>
  <si>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</si>
  <si>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</si>
  <si>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</si>
  <si>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</si>
  <si>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</si>
  <si>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</si>
  <si>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</si>
  <si>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</si>
  <si>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</si>
  <si>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</si>
  <si>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</si>
  <si>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</si>
  <si>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</si>
  <si>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</si>
  <si>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</si>
  <si>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</si>
  <si>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</si>
  <si>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</si>
  <si>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</si>
  <si>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</si>
  <si>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</si>
  <si>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</si>
  <si>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</si>
  <si>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</si>
  <si>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</si>
  <si>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</si>
  <si>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</si>
  <si>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</si>
  <si>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</si>
  <si>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</si>
  <si>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</si>
  <si>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</si>
  <si>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</si>
  <si>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10/12/2024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</si>
  <si>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</si>
  <si>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</si>
  <si>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</si>
  <si>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</si>
  <si>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</si>
  <si>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</si>
  <si>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</si>
  <si>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</si>
  <si>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</si>
  <si>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</si>
  <si>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</si>
  <si>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</si>
  <si>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</si>
  <si>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</si>
  <si>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</si>
  <si>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</si>
  <si>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</si>
  <si>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</si>
  <si>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</si>
  <si>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</si>
  <si>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</si>
  <si>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</si>
  <si>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</si>
  <si>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</si>
  <si>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12/11/2023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</si>
  <si>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</si>
  <si>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</si>
  <si>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</si>
  <si>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</si>
  <si>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</si>
  <si>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</si>
  <si>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</si>
  <si>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</si>
  <si>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</si>
  <si>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</si>
  <si>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</si>
  <si>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</si>
  <si>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</si>
  <si>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</si>
  <si>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</si>
  <si>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</si>
  <si>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</si>
  <si>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</si>
  <si>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</si>
  <si>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</si>
  <si>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</si>
  <si>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</si>
  <si>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</si>
  <si>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</si>
  <si>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</si>
  <si>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</si>
  <si>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</si>
  <si>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</si>
  <si>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</si>
  <si>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</si>
  <si>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</si>
  <si>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Departmen</t>
  </si>
  <si>
    <t>Minimum_Salary</t>
  </si>
  <si>
    <t>Maximum_salary</t>
  </si>
  <si>
    <t>Admin</t>
  </si>
  <si>
    <t>Cloud Tech</t>
  </si>
  <si>
    <t>DevOps</t>
  </si>
  <si>
    <t>Finance</t>
  </si>
  <si>
    <t>HR</t>
  </si>
  <si>
    <t>Sales</t>
  </si>
  <si>
    <t>Jumlah Baris</t>
  </si>
  <si>
    <t>Jumlah Colom</t>
  </si>
  <si>
    <t>Column Name</t>
  </si>
  <si>
    <t>String/Text</t>
  </si>
  <si>
    <t>Int/Number</t>
  </si>
  <si>
    <t>Boolean</t>
  </si>
  <si>
    <t>Duplicate</t>
  </si>
  <si>
    <t>Column1</t>
  </si>
  <si>
    <t>Missing Value</t>
  </si>
  <si>
    <t>Datatype</t>
  </si>
  <si>
    <t>Max</t>
  </si>
  <si>
    <t>Min</t>
  </si>
  <si>
    <t>04/02/2021</t>
  </si>
  <si>
    <t>07/10/2020</t>
  </si>
  <si>
    <t>12/07/2023</t>
  </si>
  <si>
    <t>01/05/2022</t>
  </si>
  <si>
    <t>06/10/2020</t>
  </si>
  <si>
    <t>04/03/2020</t>
  </si>
  <si>
    <t>12/08/2023</t>
  </si>
  <si>
    <t>08/04/2022</t>
  </si>
  <si>
    <t>07/06/2024</t>
  </si>
  <si>
    <t>09/04/2023</t>
  </si>
  <si>
    <t>03/05/2024</t>
  </si>
  <si>
    <t>06/10/2024</t>
  </si>
  <si>
    <t>01/02/2020</t>
  </si>
  <si>
    <t>05/08/2021</t>
  </si>
  <si>
    <t>03/09/2021</t>
  </si>
  <si>
    <t>02/03/2022</t>
  </si>
  <si>
    <t>10/02/2023</t>
  </si>
  <si>
    <t>07/12/2020</t>
  </si>
  <si>
    <t>11/05/2024</t>
  </si>
  <si>
    <t>08/07/2021</t>
  </si>
  <si>
    <t>05/03/2023</t>
  </si>
  <si>
    <t>05/02/2023</t>
  </si>
  <si>
    <t>10/05/2021</t>
  </si>
  <si>
    <t>12/03/2024</t>
  </si>
  <si>
    <t>07/08/2020</t>
  </si>
  <si>
    <t>08/07/2024</t>
  </si>
  <si>
    <t>11/09/2021</t>
  </si>
  <si>
    <t>08/10/2020</t>
  </si>
  <si>
    <t>11/07/2023</t>
  </si>
  <si>
    <t>11/07/2021</t>
  </si>
  <si>
    <t>08/10/2021</t>
  </si>
  <si>
    <t>02/02/2021</t>
  </si>
  <si>
    <t>01/12/2020</t>
  </si>
  <si>
    <t>01/01/2024</t>
  </si>
  <si>
    <t>12/09/2020</t>
  </si>
  <si>
    <t>07/03/2021</t>
  </si>
  <si>
    <t>03/10/2021</t>
  </si>
  <si>
    <t>04/08/2022</t>
  </si>
  <si>
    <t>01/09/2022</t>
  </si>
  <si>
    <t>05/07/2024</t>
  </si>
  <si>
    <t>03/10/2023</t>
  </si>
  <si>
    <t>06/11/2024</t>
  </si>
  <si>
    <t>09/08/2024</t>
  </si>
  <si>
    <t>08/02/2020</t>
  </si>
  <si>
    <t>09/08/2023</t>
  </si>
  <si>
    <t>08/12/2021</t>
  </si>
  <si>
    <t>09/05/2024</t>
  </si>
  <si>
    <t>05/12/2023</t>
  </si>
  <si>
    <t>07/01/2021</t>
  </si>
  <si>
    <t>11/07/2024</t>
  </si>
  <si>
    <t>01/11/2024</t>
  </si>
  <si>
    <t>11/02/2023</t>
  </si>
  <si>
    <t>04/09/2023</t>
  </si>
  <si>
    <t>07/05/2024</t>
  </si>
  <si>
    <t>09/04/2021</t>
  </si>
  <si>
    <t>04/10/2020</t>
  </si>
  <si>
    <t>03/10/2024</t>
  </si>
  <si>
    <t>06/10/2021</t>
  </si>
  <si>
    <t>10/04/2020</t>
  </si>
  <si>
    <t>10/02/2024</t>
  </si>
  <si>
    <t>06/05/2024</t>
  </si>
  <si>
    <t>03/04/2020</t>
  </si>
  <si>
    <t>10/02/2021</t>
  </si>
  <si>
    <t>07/05/2020</t>
  </si>
  <si>
    <t>04/10/2024</t>
  </si>
  <si>
    <t>02/09/2022</t>
  </si>
  <si>
    <t>05/06/2023</t>
  </si>
  <si>
    <t>07/11/2021</t>
  </si>
  <si>
    <t>06/12/2022</t>
  </si>
  <si>
    <t>06/05/2020</t>
  </si>
  <si>
    <t>04/05/2024</t>
  </si>
  <si>
    <t>11/04/2024</t>
  </si>
  <si>
    <t>11/04/2020</t>
  </si>
  <si>
    <t>06/04/2024</t>
  </si>
  <si>
    <t>08/04/2021</t>
  </si>
  <si>
    <t>11/04/2023</t>
  </si>
  <si>
    <t>06/07/2020</t>
  </si>
  <si>
    <t>02/10/2022</t>
  </si>
  <si>
    <t>08/03/2022</t>
  </si>
  <si>
    <t>10/09/2024</t>
  </si>
  <si>
    <t>02/08/2020</t>
  </si>
  <si>
    <t>09/06/2020</t>
  </si>
  <si>
    <t>01/02/2023</t>
  </si>
  <si>
    <t>03/03/2022</t>
  </si>
  <si>
    <t>02/10/2024</t>
  </si>
  <si>
    <t>05/09/2020</t>
  </si>
  <si>
    <t>07/04/2022</t>
  </si>
  <si>
    <t>06/08/2024</t>
  </si>
  <si>
    <t>10/02/2022</t>
  </si>
  <si>
    <t>09/05/2020</t>
  </si>
  <si>
    <t>01/07/2021</t>
  </si>
  <si>
    <t>12/03/2020</t>
  </si>
  <si>
    <t>09/01/2021</t>
  </si>
  <si>
    <t>10/09/2023</t>
  </si>
  <si>
    <t>01/12/2022</t>
  </si>
  <si>
    <t>06/05/2023</t>
  </si>
  <si>
    <t>10/07/2020</t>
  </si>
  <si>
    <t>11/02/2021</t>
  </si>
  <si>
    <t>07/12/2023</t>
  </si>
  <si>
    <t>12/09/2022</t>
  </si>
  <si>
    <t>01/02/2024</t>
  </si>
  <si>
    <t>07/09/2021</t>
  </si>
  <si>
    <t>05/05/2021</t>
  </si>
  <si>
    <t>09/10/2021</t>
  </si>
  <si>
    <t>09/06/2022</t>
  </si>
  <si>
    <t>11/01/2022</t>
  </si>
  <si>
    <t>02/08/2022</t>
  </si>
  <si>
    <t>03/09/2020</t>
  </si>
  <si>
    <t>12/03/2022</t>
  </si>
  <si>
    <t>07/06/2023</t>
  </si>
  <si>
    <t>10/07/2023</t>
  </si>
  <si>
    <t>04/08/2024</t>
  </si>
  <si>
    <t>05/05/2022</t>
  </si>
  <si>
    <t>02/01/2023</t>
  </si>
  <si>
    <t>10/01/2022</t>
  </si>
  <si>
    <t>04/09/2020</t>
  </si>
  <si>
    <t>02/03/2023</t>
  </si>
  <si>
    <t>04/11/2022</t>
  </si>
  <si>
    <t>03/04/2023</t>
  </si>
  <si>
    <t>01/02/2021</t>
  </si>
  <si>
    <t>06/06/2020</t>
  </si>
  <si>
    <t>05/03/2024</t>
  </si>
  <si>
    <t>02/07/2022</t>
  </si>
  <si>
    <t>01/08/2022</t>
  </si>
  <si>
    <t>02/09/2023</t>
  </si>
  <si>
    <t>03/05/2022</t>
  </si>
  <si>
    <t>06/09/2022</t>
  </si>
  <si>
    <t>07/04/2023</t>
  </si>
  <si>
    <t>01/03/2021</t>
  </si>
  <si>
    <t>05/10/2021</t>
  </si>
  <si>
    <t>09/08/2022</t>
  </si>
  <si>
    <t>08/11/2020</t>
  </si>
  <si>
    <t>11/08/2021</t>
  </si>
  <si>
    <t>08/04/2023</t>
  </si>
  <si>
    <t>01/10/2020</t>
  </si>
  <si>
    <t>05/07/2023</t>
  </si>
  <si>
    <t>10/01/2020</t>
  </si>
  <si>
    <t>01/05/2023</t>
  </si>
  <si>
    <t>02/03/2021</t>
  </si>
  <si>
    <t>03/07/2020</t>
  </si>
  <si>
    <t>04/06/2023</t>
  </si>
  <si>
    <t>01/03/2022</t>
  </si>
  <si>
    <t>09/05/2022</t>
  </si>
  <si>
    <t>04/11/2024</t>
  </si>
  <si>
    <t>12/07/2020</t>
  </si>
  <si>
    <t>02/02/2022</t>
  </si>
  <si>
    <t>04/01/2022</t>
  </si>
  <si>
    <t>10/04/2024</t>
  </si>
  <si>
    <t>05/02/2020</t>
  </si>
  <si>
    <t>08/12/2022</t>
  </si>
  <si>
    <t>03/11/2020</t>
  </si>
  <si>
    <t>05/04/2020</t>
  </si>
  <si>
    <t>01/04/2022</t>
  </si>
  <si>
    <t>05/01/2020</t>
  </si>
  <si>
    <t>02/04/2022</t>
  </si>
  <si>
    <t>05/02/2021</t>
  </si>
  <si>
    <t>03/05/2021</t>
  </si>
  <si>
    <t>03/01/2022</t>
  </si>
  <si>
    <t>04/01/2020</t>
  </si>
  <si>
    <t>02/07/2023</t>
  </si>
  <si>
    <t>08/11/2024</t>
  </si>
  <si>
    <t>07/04/2021</t>
  </si>
  <si>
    <t>11/03/2023</t>
  </si>
  <si>
    <t>07/05/2021</t>
  </si>
  <si>
    <t>07/02/2022</t>
  </si>
  <si>
    <t>02/11/2020</t>
  </si>
  <si>
    <t>05/10/2020</t>
  </si>
  <si>
    <t>03/06/2022</t>
  </si>
  <si>
    <t>11/06/2023</t>
  </si>
  <si>
    <t>03/04/2024</t>
  </si>
  <si>
    <t>08/07/2022</t>
  </si>
  <si>
    <t>12/02/2021</t>
  </si>
  <si>
    <t>04/08/2020</t>
  </si>
  <si>
    <t>12/06/2023</t>
  </si>
  <si>
    <t>08/01/2021</t>
  </si>
  <si>
    <t>09/06/2024</t>
  </si>
  <si>
    <t>06/06/2023</t>
  </si>
  <si>
    <t>12/05/2023</t>
  </si>
  <si>
    <t>08/06/2023</t>
  </si>
  <si>
    <t>08/05/2020</t>
  </si>
  <si>
    <t>02/05/2021</t>
  </si>
  <si>
    <t>11/07/2022</t>
  </si>
  <si>
    <t>04/08/2023</t>
  </si>
  <si>
    <t>12/06/2022</t>
  </si>
  <si>
    <t>08/09/2021</t>
  </si>
  <si>
    <t>06/10/2023</t>
  </si>
  <si>
    <t>06/09/2021</t>
  </si>
  <si>
    <t>05/02/2024</t>
  </si>
  <si>
    <t>11/06/2024</t>
  </si>
  <si>
    <t>01/02/2022</t>
  </si>
  <si>
    <t>03/09/2024</t>
  </si>
  <si>
    <t>12/02/2024</t>
  </si>
  <si>
    <t>05/04/2021</t>
  </si>
  <si>
    <t>01/01/2021</t>
  </si>
  <si>
    <t>05/09/2022</t>
  </si>
  <si>
    <t>03/02/2024</t>
  </si>
  <si>
    <t>10/07/2024</t>
  </si>
  <si>
    <t>08/01/2022</t>
  </si>
  <si>
    <t>01/09/2021</t>
  </si>
  <si>
    <t>05/08/2024</t>
  </si>
  <si>
    <t>03/07/2021</t>
  </si>
  <si>
    <t>02/11/2023</t>
  </si>
  <si>
    <t>10/03/2020</t>
  </si>
  <si>
    <t>01/01/2020</t>
  </si>
  <si>
    <t>04/11/2020</t>
  </si>
  <si>
    <t>05/10/2022</t>
  </si>
  <si>
    <t>02/10/2021</t>
  </si>
  <si>
    <t>04/05/2023</t>
  </si>
  <si>
    <t>02/11/2024</t>
  </si>
  <si>
    <t>08/10/2024</t>
  </si>
  <si>
    <t>09/04/2024</t>
  </si>
  <si>
    <t>09/07/2021</t>
  </si>
  <si>
    <t>02/05/2024</t>
  </si>
  <si>
    <t>08/09/2024</t>
  </si>
  <si>
    <t>12/07/2022</t>
  </si>
  <si>
    <t>07/05/2023</t>
  </si>
  <si>
    <t>03/01/2020</t>
  </si>
  <si>
    <t>10/08/2020</t>
  </si>
  <si>
    <t>01/03/2023</t>
  </si>
  <si>
    <t>07/09/2022</t>
  </si>
  <si>
    <t>05/12/2020</t>
  </si>
  <si>
    <t>02/02/2024</t>
  </si>
  <si>
    <t>09/11/2021</t>
  </si>
  <si>
    <t>03/06/2024</t>
  </si>
  <si>
    <t>05/05/2023</t>
  </si>
  <si>
    <t>08/01/2024</t>
  </si>
  <si>
    <t>05/05/2020</t>
  </si>
  <si>
    <t>09/05/2021</t>
  </si>
  <si>
    <t>06/03/2022</t>
  </si>
  <si>
    <t>02/02/2020</t>
  </si>
  <si>
    <t>07/08/2024</t>
  </si>
  <si>
    <t>05/08/2023</t>
  </si>
  <si>
    <t>11/05/2020</t>
  </si>
  <si>
    <t>01/05/2021</t>
  </si>
  <si>
    <t>09/11/2024</t>
  </si>
  <si>
    <t>07/07/2021</t>
  </si>
  <si>
    <t>02/12/2024</t>
  </si>
  <si>
    <t>07/07/2020</t>
  </si>
  <si>
    <t>09/02/2020</t>
  </si>
  <si>
    <t>01/12/2021</t>
  </si>
  <si>
    <t>03/12/2022</t>
  </si>
  <si>
    <t>07/01/2020</t>
  </si>
  <si>
    <t>01/11/2022</t>
  </si>
  <si>
    <t>10/04/2023</t>
  </si>
  <si>
    <t>06/02/2023</t>
  </si>
  <si>
    <t>06/01/2024</t>
  </si>
  <si>
    <t>03/11/2022</t>
  </si>
  <si>
    <t>05/03/2022</t>
  </si>
  <si>
    <t>03/12/2020</t>
  </si>
  <si>
    <t>09/07/2022</t>
  </si>
  <si>
    <t>10/05/2024</t>
  </si>
  <si>
    <t>07/01/2022</t>
  </si>
  <si>
    <t>03/09/2023</t>
  </si>
  <si>
    <t>04/04/2021</t>
  </si>
  <si>
    <t>09/11/2020</t>
  </si>
  <si>
    <t>08/03/2024</t>
  </si>
  <si>
    <t>08/05/2024</t>
  </si>
  <si>
    <t>01/09/2020</t>
  </si>
  <si>
    <t>10/05/2020</t>
  </si>
  <si>
    <t>09/10/2023</t>
  </si>
  <si>
    <t>11/08/2020</t>
  </si>
  <si>
    <t>02/06/2020</t>
  </si>
  <si>
    <t>01/07/2023</t>
  </si>
  <si>
    <t>07/02/2021</t>
  </si>
  <si>
    <t>12/05/2022</t>
  </si>
  <si>
    <t>Department</t>
  </si>
  <si>
    <t>Location_Department</t>
  </si>
  <si>
    <t>date_Clean</t>
  </si>
  <si>
    <t>Standart_Gaji</t>
  </si>
  <si>
    <t>Column2</t>
  </si>
  <si>
    <t>Row Labels</t>
  </si>
  <si>
    <t>Grand Total</t>
  </si>
  <si>
    <t>Overpaid</t>
  </si>
  <si>
    <t>Standart</t>
  </si>
  <si>
    <t>Underpaid</t>
  </si>
  <si>
    <t>Column Labels</t>
  </si>
  <si>
    <t>Average of Salary</t>
  </si>
  <si>
    <t>Count of Employee_ID</t>
  </si>
  <si>
    <t>Employee Count</t>
  </si>
  <si>
    <t>California</t>
  </si>
  <si>
    <t>Florida</t>
  </si>
  <si>
    <t>Illinois</t>
  </si>
  <si>
    <t>Nevada</t>
  </si>
  <si>
    <t>New York</t>
  </si>
  <si>
    <t>Texas</t>
  </si>
  <si>
    <t>Count of Age</t>
  </si>
  <si>
    <t>Avg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</si>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</sst>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3" formatCode="m/d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4" fillId="0" borderId="0" xfId="0" applyFont="1" applyBorder="1"/>
    <xf numFmtId="0" fontId="4" fillId="0" borderId="1" xfId="0" applyFont="1" applyBorder="1"/>
    <xf numFmtId="0" fontId="6" fillId="0" borderId="1" xfId="0" applyFont="1" applyBorder="1"/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49" fontId="0" fillId="0" borderId="0" xfId="1" applyNumberFormat="1" applyFont="1"/>
    <xf numFmtId="17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41" fontId="4" fillId="0" borderId="1" xfId="1" applyFont="1" applyBorder="1"/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3" formatCode="m/d/yy;@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Sheet3!$B$5:$B$11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Sheet3!$C$5:$C$11</c:f>
              <c:numCache>
                <c:formatCode>General</c:formatCode>
                <c:ptCount val="6"/>
                <c:pt idx="0">
                  <c:v>166</c:v>
                </c:pt>
                <c:pt idx="1">
                  <c:v>146</c:v>
                </c:pt>
                <c:pt idx="2">
                  <c:v>189</c:v>
                </c:pt>
                <c:pt idx="3">
                  <c:v>170</c:v>
                </c:pt>
                <c:pt idx="4">
                  <c:v>171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3-784D-9679-04380AB1F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554560"/>
        <c:axId val="1371747904"/>
      </c:barChart>
      <c:catAx>
        <c:axId val="13335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747904"/>
        <c:crosses val="autoZero"/>
        <c:auto val="1"/>
        <c:lblAlgn val="ctr"/>
        <c:lblOffset val="100"/>
        <c:noMultiLvlLbl val="0"/>
      </c:catAx>
      <c:valAx>
        <c:axId val="13717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Sheet3!$B$15:$B$20</c:f>
              <c:strCache>
                <c:ptCount val="5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35</c:v>
                </c:pt>
                <c:pt idx="4">
                  <c:v>40</c:v>
                </c:pt>
              </c:strCache>
            </c:strRef>
          </c:cat>
          <c:val>
            <c:numRef>
              <c:f>Sheet3!$C$15:$C$20</c:f>
              <c:numCache>
                <c:formatCode>General</c:formatCode>
                <c:ptCount val="5"/>
                <c:pt idx="0">
                  <c:v>206</c:v>
                </c:pt>
                <c:pt idx="1">
                  <c:v>205</c:v>
                </c:pt>
                <c:pt idx="2">
                  <c:v>211</c:v>
                </c:pt>
                <c:pt idx="3">
                  <c:v>188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DA49-90C1-A1F53560B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183552"/>
        <c:axId val="1388184448"/>
      </c:barChart>
      <c:catAx>
        <c:axId val="13881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84448"/>
        <c:crosses val="autoZero"/>
        <c:auto val="1"/>
        <c:lblAlgn val="ctr"/>
        <c:lblOffset val="100"/>
        <c:noMultiLvlLbl val="0"/>
      </c:catAx>
      <c:valAx>
        <c:axId val="13881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8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 Department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Sheet3!$B$24:$B$30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Sheet3!$C$24:$C$30</c:f>
              <c:numCache>
                <c:formatCode>General</c:formatCode>
                <c:ptCount val="6"/>
                <c:pt idx="0">
                  <c:v>187</c:v>
                </c:pt>
                <c:pt idx="1">
                  <c:v>185</c:v>
                </c:pt>
                <c:pt idx="2">
                  <c:v>165</c:v>
                </c:pt>
                <c:pt idx="3">
                  <c:v>169</c:v>
                </c:pt>
                <c:pt idx="4">
                  <c:v>161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6B43-95C4-217FC079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881792"/>
        <c:axId val="1408198272"/>
      </c:barChart>
      <c:catAx>
        <c:axId val="13198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198272"/>
        <c:crosses val="autoZero"/>
        <c:auto val="1"/>
        <c:lblAlgn val="ctr"/>
        <c:lblOffset val="100"/>
        <c:noMultiLvlLbl val="0"/>
      </c:catAx>
      <c:valAx>
        <c:axId val="14081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8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per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Sheet3!$K$4:$K$5</c:f>
              <c:strCache>
                <c:ptCount val="1"/>
                <c:pt idx="0">
                  <c:v>Overpaid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Sheet3!$J$6:$J$10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Sheet3!$K$6:$K$10</c:f>
              <c:numCache>
                <c:formatCode>General</c:formatCode>
                <c:ptCount val="4"/>
                <c:pt idx="0">
                  <c:v>66</c:v>
                </c:pt>
                <c:pt idx="1">
                  <c:v>78</c:v>
                </c:pt>
                <c:pt idx="2">
                  <c:v>85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6-C945-AF6E-75AB73FD90CD}"/>
            </c:ext>
          </c:extLst>
        </c:ser>
        <c:ser>
          <c:idx val="1"/>
          <c:order val="1"/>
          <c:tx>
            <c:strRef>
              <c:f>Sheet3!$L$4:$L$5</c:f>
              <c:strCache>
                <c:ptCount val="1"/>
                <c:pt idx="0">
                  <c:v>Standart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Sheet3!$J$6:$J$10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Sheet3!$L$6:$L$10</c:f>
              <c:numCache>
                <c:formatCode>General</c:formatCode>
                <c:ptCount val="4"/>
                <c:pt idx="0">
                  <c:v>151</c:v>
                </c:pt>
                <c:pt idx="1">
                  <c:v>146</c:v>
                </c:pt>
                <c:pt idx="2">
                  <c:v>135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6-C945-AF6E-75AB73FD90CD}"/>
            </c:ext>
          </c:extLst>
        </c:ser>
        <c:ser>
          <c:idx val="2"/>
          <c:order val="2"/>
          <c:tx>
            <c:strRef>
              <c:f>Sheet3!$M$4:$M$5</c:f>
              <c:strCache>
                <c:ptCount val="1"/>
                <c:pt idx="0">
                  <c:v>Underpaid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Sheet3!$J$6:$J$10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Sheet3!$M$6:$M$10</c:f>
              <c:numCache>
                <c:formatCode>General</c:formatCode>
                <c:ptCount val="4"/>
                <c:pt idx="0">
                  <c:v>50</c:v>
                </c:pt>
                <c:pt idx="1">
                  <c:v>43</c:v>
                </c:pt>
                <c:pt idx="2">
                  <c:v>50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6-C945-AF6E-75AB73FD9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12472704"/>
        <c:axId val="1411078720"/>
      </c:barChart>
      <c:catAx>
        <c:axId val="14124727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78720"/>
        <c:crosses val="autoZero"/>
        <c:auto val="1"/>
        <c:lblAlgn val="ctr"/>
        <c:lblOffset val="100"/>
        <c:noMultiLvlLbl val="0"/>
      </c:catAx>
      <c:valAx>
        <c:axId val="141107872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[Employee_dataset.xlsx]Sheet3!PivotTable8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Sheet3!$K$17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Sheet3!$J$18:$J$24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Sheet3!$K$18:$K$24</c:f>
              <c:numCache>
                <c:formatCode>_(* #,##0_);_(* \(#,##0\);_(* "-"_);_(@_)</c:formatCode>
                <c:ptCount val="6"/>
                <c:pt idx="0">
                  <c:v>85191.113373494009</c:v>
                </c:pt>
                <c:pt idx="1">
                  <c:v>84931.324383561689</c:v>
                </c:pt>
                <c:pt idx="2">
                  <c:v>85993.511111111176</c:v>
                </c:pt>
                <c:pt idx="3">
                  <c:v>82275.015588235328</c:v>
                </c:pt>
                <c:pt idx="4">
                  <c:v>85466.424619883037</c:v>
                </c:pt>
                <c:pt idx="5">
                  <c:v>86867.496235955085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0-794E-A852-2D67A58EA8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88197440"/>
        <c:axId val="1333550976"/>
      </c:barChart>
      <c:catAx>
        <c:axId val="138819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50976"/>
        <c:crosses val="autoZero"/>
        <c:auto val="1"/>
        <c:lblAlgn val="ctr"/>
        <c:lblOffset val="100"/>
        <c:noMultiLvlLbl val="0"/>
      </c:catAx>
      <c:valAx>
        <c:axId val="133355097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9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[Employee_dataset.xlsx]Sheet3!PivotTable9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36754105799605"/>
          <c:y val="0.19634892069107004"/>
          <c:w val="0.6723124683665811"/>
          <c:h val="0.695135282864170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Sheet3!$Q$19:$Q$20</c:f>
              <c:strCache>
                <c:ptCount val="1"/>
                <c:pt idx="0">
                  <c:v>Overpaid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Sheet3!$P$21:$P$27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Sheet3!$Q$21:$Q$27</c:f>
              <c:numCache>
                <c:formatCode>General</c:formatCode>
                <c:ptCount val="6"/>
                <c:pt idx="0">
                  <c:v>111</c:v>
                </c:pt>
                <c:pt idx="3">
                  <c:v>29</c:v>
                </c:pt>
                <c:pt idx="4">
                  <c:v>89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E-1F4B-B34A-E3BED6967849}"/>
            </c:ext>
          </c:extLst>
        </c:ser>
        <c:ser>
          <c:idx val="1"/>
          <c:order val="1"/>
          <c:tx>
            <c:strRef>
              <c:f>Sheet3!$R$19:$R$20</c:f>
              <c:strCache>
                <c:ptCount val="1"/>
                <c:pt idx="0">
                  <c:v>Standart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Sheet3!$P$21:$P$27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Sheet3!$R$21:$R$27</c:f>
              <c:numCache>
                <c:formatCode>General</c:formatCode>
                <c:ptCount val="6"/>
                <c:pt idx="0">
                  <c:v>55</c:v>
                </c:pt>
                <c:pt idx="1">
                  <c:v>83</c:v>
                </c:pt>
                <c:pt idx="2">
                  <c:v>99</c:v>
                </c:pt>
                <c:pt idx="3">
                  <c:v>110</c:v>
                </c:pt>
                <c:pt idx="4">
                  <c:v>82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E-1F4B-B34A-E3BED6967849}"/>
            </c:ext>
          </c:extLst>
        </c:ser>
        <c:ser>
          <c:idx val="2"/>
          <c:order val="2"/>
          <c:tx>
            <c:strRef>
              <c:f>Sheet3!$S$19:$S$20</c:f>
              <c:strCache>
                <c:ptCount val="1"/>
                <c:pt idx="0">
                  <c:v>Underpaid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Sheet3!$P$21:$P$27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Sheet3!$S$21:$S$27</c:f>
              <c:numCache>
                <c:formatCode>General</c:formatCode>
                <c:ptCount val="6"/>
                <c:pt idx="1">
                  <c:v>63</c:v>
                </c:pt>
                <c:pt idx="2">
                  <c:v>90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E-1F4B-B34A-E3BED69678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414856704"/>
        <c:axId val="1407071360"/>
      </c:barChart>
      <c:catAx>
        <c:axId val="141485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71360"/>
        <c:crosses val="autoZero"/>
        <c:auto val="1"/>
        <c:lblAlgn val="ctr"/>
        <c:lblOffset val="100"/>
        <c:noMultiLvlLbl val="0"/>
      </c:catAx>
      <c:valAx>
        <c:axId val="14070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5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13949</xdr:colOff>
      <xdr:row>34</xdr:row>
      <xdr:rowOff>184149</xdr:rowOff>
    </xdr:from>
    <xdr:to>
      <xdr:col>5</xdr:col>
      <xdr:colOff>1168608</xdr:colOff>
      <xdr:row>49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AE5AE-17BD-F744-0D59-AD4A6C0EB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4164</xdr:colOff>
      <xdr:row>52</xdr:row>
      <xdr:rowOff>2498</xdr:rowOff>
    </xdr:from>
    <xdr:to>
      <xdr:col>5</xdr:col>
      <xdr:colOff>1140918</xdr:colOff>
      <xdr:row>66</xdr:row>
      <xdr:rowOff>122420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545C2-0A66-8767-4D9E-D34268CD9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19538</xdr:colOff>
      <xdr:row>69</xdr:row>
      <xdr:rowOff>5862</xdr:rowOff>
    </xdr:from>
    <xdr:to>
      <xdr:col>5</xdr:col>
      <xdr:colOff>1152769</xdr:colOff>
      <xdr:row>83</xdr:row>
      <xdr:rowOff>13677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3585D-0920-5011-9C33-5D27E67E9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29882</xdr:colOff>
      <xdr:row>52</xdr:row>
      <xdr:rowOff>71120</xdr:rowOff>
    </xdr:from>
    <xdr:to>
      <xdr:col>12</xdr:col>
      <xdr:colOff>642470</xdr:colOff>
      <xdr:row>66</xdr:row>
      <xdr:rowOff>138952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A6A763-ED38-FD4A-389A-E0BC017F5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660401</xdr:colOff>
      <xdr:row>33</xdr:row>
      <xdr:rowOff>169333</xdr:rowOff>
    </xdr:from>
    <xdr:to>
      <xdr:col>19</xdr:col>
      <xdr:colOff>16935</xdr:colOff>
      <xdr:row>49</xdr:row>
      <xdr:rowOff>169333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19104C-F79C-83EA-3414-A183786D3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648876</xdr:colOff>
      <xdr:row>52</xdr:row>
      <xdr:rowOff>7761</xdr:rowOff>
    </xdr:from>
    <xdr:to>
      <xdr:col>18</xdr:col>
      <xdr:colOff>660636</xdr:colOff>
      <xdr:row>66</xdr:row>
      <xdr:rowOff>115006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1372F2-46B0-401D-F078-6C51F98C1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" refreshedDate="46316.609566203704" createdVersion="8" refreshedVersion="8" minRefreshableVersion="3" recordCount="1020" xr:uid="{A57AB551-0020-B243-B0A5-AAF8EE088799}">
  <cacheSource type="worksheet">
    <worksheetSource name="Table1"/>
  </cacheSource>
  <cacheFields count="18">
    <cacheField name="Column1" numFmtId="0">
      <sharedItems containsSemiMixedTypes="0" containsString="0" containsNumber="1" containsInteger="1" minValue="0" maxValue="1019"/>
    </cacheField>
    <cacheField name="Employee_ID" numFmtId="49">
      <sharedItems count="102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  <s v="EMP1301"/>
        <s v="EMP1302"/>
        <s v="EMP1303"/>
        <s v="EMP1304"/>
        <s v="EMP1305"/>
        <s v="EMP1306"/>
        <s v="EMP1307"/>
        <s v="EMP1308"/>
        <s v="EMP1309"/>
        <s v="EMP1310"/>
        <s v="EMP1311"/>
        <s v="EMP1312"/>
        <s v="EMP1313"/>
        <s v="EMP1314"/>
        <s v="EMP1315"/>
        <s v="EMP1316"/>
        <s v="EMP1317"/>
        <s v="EMP1318"/>
        <s v="EMP1319"/>
        <s v="EMP1320"/>
        <s v="EMP1321"/>
        <s v="EMP1322"/>
        <s v="EMP1323"/>
        <s v="EMP1324"/>
        <s v="EMP1325"/>
        <s v="EMP1326"/>
        <s v="EMP1327"/>
        <s v="EMP1328"/>
        <s v="EMP1329"/>
        <s v="EMP1330"/>
        <s v="EMP1331"/>
        <s v="EMP1332"/>
        <s v="EMP1333"/>
        <s v="EMP1334"/>
        <s v="EMP1335"/>
        <s v="EMP1336"/>
        <s v="EMP1337"/>
        <s v="EMP1338"/>
        <s v="EMP1339"/>
        <s v="EMP1340"/>
        <s v="EMP1341"/>
        <s v="EMP1342"/>
        <s v="EMP1343"/>
        <s v="EMP1344"/>
        <s v="EMP1345"/>
        <s v="EMP1346"/>
        <s v="EMP1347"/>
        <s v="EMP1348"/>
        <s v="EMP1349"/>
        <s v="EMP1350"/>
        <s v="EMP1351"/>
        <s v="EMP1352"/>
        <s v="EMP1353"/>
        <s v="EMP1354"/>
        <s v="EMP1355"/>
        <s v="EMP1356"/>
        <s v="EMP1357"/>
        <s v="EMP1358"/>
        <s v="EMP1359"/>
        <s v="EMP1360"/>
        <s v="EMP1361"/>
        <s v="EMP1362"/>
        <s v="EMP1363"/>
        <s v="EMP1364"/>
        <s v="EMP1365"/>
        <s v="EMP1366"/>
        <s v="EMP1367"/>
        <s v="EMP1368"/>
        <s v="EMP1369"/>
        <s v="EMP1370"/>
        <s v="EMP1371"/>
        <s v="EMP1372"/>
        <s v="EMP1373"/>
        <s v="EMP1374"/>
        <s v="EMP1375"/>
        <s v="EMP1376"/>
        <s v="EMP1377"/>
        <s v="EMP1378"/>
        <s v="EMP1379"/>
        <s v="EMP1380"/>
        <s v="EMP1381"/>
        <s v="EMP1382"/>
        <s v="EMP1383"/>
        <s v="EMP1384"/>
        <s v="EMP1385"/>
        <s v="EMP1386"/>
        <s v="EMP1387"/>
        <s v="EMP1388"/>
        <s v="EMP1389"/>
        <s v="EMP1390"/>
        <s v="EMP1391"/>
        <s v="EMP1392"/>
        <s v="EMP1393"/>
        <s v="EMP1394"/>
        <s v="EMP1395"/>
        <s v="EMP1396"/>
        <s v="EMP1397"/>
        <s v="EMP1398"/>
        <s v="EMP1399"/>
        <s v="EMP1400"/>
        <s v="EMP1401"/>
        <s v="EMP1402"/>
        <s v="EMP1403"/>
        <s v="EMP1404"/>
        <s v="EMP1405"/>
        <s v="EMP1406"/>
        <s v="EMP1407"/>
        <s v="EMP1408"/>
        <s v="EMP1409"/>
        <s v="EMP1410"/>
        <s v="EMP1411"/>
        <s v="EMP1412"/>
        <s v="EMP1413"/>
        <s v="EMP1414"/>
        <s v="EMP1415"/>
        <s v="EMP1416"/>
        <s v="EMP1417"/>
        <s v="EMP1418"/>
        <s v="EMP1419"/>
        <s v="EMP1420"/>
        <s v="EMP1421"/>
        <s v="EMP1422"/>
        <s v="EMP1423"/>
        <s v="EMP1424"/>
        <s v="EMP1425"/>
        <s v="EMP1426"/>
        <s v="EMP1427"/>
        <s v="EMP1428"/>
        <s v="EMP1429"/>
        <s v="EMP1430"/>
        <s v="EMP1431"/>
        <s v="EMP1432"/>
        <s v="EMP1433"/>
        <s v="EMP1434"/>
        <s v="EMP1435"/>
        <s v="EMP1436"/>
        <s v="EMP1437"/>
        <s v="EMP1438"/>
        <s v="EMP1439"/>
        <s v="EMP1440"/>
        <s v="EMP1441"/>
        <s v="EMP1442"/>
        <s v="EMP1443"/>
        <s v="EMP1444"/>
        <s v="EMP1445"/>
        <s v="EMP1446"/>
        <s v="EMP1447"/>
        <s v="EMP1448"/>
        <s v="EMP1449"/>
        <s v="EMP1450"/>
        <s v="EMP1451"/>
        <s v="EMP1452"/>
        <s v="EMP1453"/>
        <s v="EMP1454"/>
        <s v="EMP1455"/>
        <s v="EMP1456"/>
        <s v="EMP1457"/>
        <s v="EMP1458"/>
        <s v="EMP1459"/>
        <s v="EMP1460"/>
        <s v="EMP1461"/>
        <s v="EMP1462"/>
        <s v="EMP1463"/>
        <s v="EMP1464"/>
        <s v="EMP1465"/>
        <s v="EMP1466"/>
        <s v="EMP1467"/>
        <s v="EMP1468"/>
        <s v="EMP1469"/>
        <s v="EMP1470"/>
        <s v="EMP1471"/>
        <s v="EMP1472"/>
        <s v="EMP1473"/>
        <s v="EMP1474"/>
        <s v="EMP1475"/>
        <s v="EMP1476"/>
        <s v="EMP1477"/>
        <s v="EMP1478"/>
        <s v="EMP1479"/>
        <s v="EMP1480"/>
        <s v="EMP1481"/>
        <s v="EMP1482"/>
        <s v="EMP1483"/>
        <s v="EMP1484"/>
        <s v="EMP1485"/>
        <s v="EMP1486"/>
        <s v="EMP1487"/>
        <s v="EMP1488"/>
        <s v="EMP1489"/>
        <s v="EMP1490"/>
        <s v="EMP1491"/>
        <s v="EMP1492"/>
        <s v="EMP1493"/>
        <s v="EMP1494"/>
        <s v="EMP1495"/>
        <s v="EMP1496"/>
        <s v="EMP1497"/>
        <s v="EMP1498"/>
        <s v="EMP1499"/>
        <s v="EMP1500"/>
        <s v="EMP1501"/>
        <s v="EMP1502"/>
        <s v="EMP1503"/>
        <s v="EMP1504"/>
        <s v="EMP1505"/>
        <s v="EMP1506"/>
        <s v="EMP1507"/>
        <s v="EMP1508"/>
        <s v="EMP1509"/>
        <s v="EMP1510"/>
        <s v="EMP1511"/>
        <s v="EMP1512"/>
        <s v="EMP1513"/>
        <s v="EMP1514"/>
        <s v="EMP1515"/>
        <s v="EMP1516"/>
        <s v="EMP1517"/>
        <s v="EMP1518"/>
        <s v="EMP1519"/>
        <s v="EMP1520"/>
        <s v="EMP1521"/>
        <s v="EMP1522"/>
        <s v="EMP1523"/>
        <s v="EMP1524"/>
        <s v="EMP1525"/>
        <s v="EMP1526"/>
        <s v="EMP1527"/>
        <s v="EMP1528"/>
        <s v="EMP1529"/>
        <s v="EMP1530"/>
        <s v="EMP1531"/>
        <s v="EMP1532"/>
        <s v="EMP1533"/>
        <s v="EMP1534"/>
        <s v="EMP1535"/>
        <s v="EMP1536"/>
        <s v="EMP1537"/>
        <s v="EMP1538"/>
        <s v="EMP1539"/>
        <s v="EMP1540"/>
        <s v="EMP1541"/>
        <s v="EMP1542"/>
        <s v="EMP1543"/>
        <s v="EMP1544"/>
        <s v="EMP1545"/>
        <s v="EMP1546"/>
        <s v="EMP1547"/>
        <s v="EMP1548"/>
        <s v="EMP1549"/>
        <s v="EMP1550"/>
        <s v="EMP1551"/>
        <s v="EMP1552"/>
        <s v="EMP1553"/>
        <s v="EMP1554"/>
        <s v="EMP1555"/>
        <s v="EMP1556"/>
        <s v="EMP1557"/>
        <s v="EMP1558"/>
        <s v="EMP1559"/>
        <s v="EMP1560"/>
        <s v="EMP1561"/>
        <s v="EMP1562"/>
        <s v="EMP1563"/>
        <s v="EMP1564"/>
        <s v="EMP1565"/>
        <s v="EMP1566"/>
        <s v="EMP1567"/>
        <s v="EMP1568"/>
        <s v="EMP1569"/>
        <s v="EMP1570"/>
        <s v="EMP1571"/>
        <s v="EMP1572"/>
        <s v="EMP1573"/>
        <s v="EMP1574"/>
        <s v="EMP1575"/>
        <s v="EMP1576"/>
        <s v="EMP1577"/>
        <s v="EMP1578"/>
        <s v="EMP1579"/>
        <s v="EMP1580"/>
        <s v="EMP1581"/>
        <s v="EMP1582"/>
        <s v="EMP1583"/>
        <s v="EMP1584"/>
        <s v="EMP1585"/>
        <s v="EMP1586"/>
        <s v="EMP1587"/>
        <s v="EMP1588"/>
        <s v="EMP1589"/>
        <s v="EMP1590"/>
        <s v="EMP1591"/>
        <s v="EMP1592"/>
        <s v="EMP1593"/>
        <s v="EMP1594"/>
        <s v="EMP1595"/>
        <s v="EMP1596"/>
        <s v="EMP1597"/>
        <s v="EMP1598"/>
        <s v="EMP1599"/>
        <s v="EMP1600"/>
        <s v="EMP1601"/>
        <s v="EMP1602"/>
        <s v="EMP1603"/>
        <s v="EMP1604"/>
        <s v="EMP1605"/>
        <s v="EMP1606"/>
        <s v="EMP1607"/>
        <s v="EMP1608"/>
        <s v="EMP1609"/>
        <s v="EMP1610"/>
        <s v="EMP1611"/>
        <s v="EMP1612"/>
        <s v="EMP1613"/>
        <s v="EMP1614"/>
        <s v="EMP1615"/>
        <s v="EMP1616"/>
        <s v="EMP1617"/>
        <s v="EMP1618"/>
        <s v="EMP1619"/>
        <s v="EMP1620"/>
        <s v="EMP1621"/>
        <s v="EMP1622"/>
        <s v="EMP1623"/>
        <s v="EMP1624"/>
        <s v="EMP1625"/>
        <s v="EMP1626"/>
        <s v="EMP1627"/>
        <s v="EMP1628"/>
        <s v="EMP1629"/>
        <s v="EMP1630"/>
        <s v="EMP1631"/>
        <s v="EMP1632"/>
        <s v="EMP1633"/>
        <s v="EMP1634"/>
        <s v="EMP1635"/>
        <s v="EMP1636"/>
        <s v="EMP1637"/>
        <s v="EMP1638"/>
        <s v="EMP1639"/>
        <s v="EMP1640"/>
        <s v="EMP1641"/>
        <s v="EMP1642"/>
        <s v="EMP1643"/>
        <s v="EMP1644"/>
        <s v="EMP1645"/>
        <s v="EMP1646"/>
        <s v="EMP1647"/>
        <s v="EMP1648"/>
        <s v="EMP1649"/>
        <s v="EMP1650"/>
        <s v="EMP1651"/>
        <s v="EMP1652"/>
        <s v="EMP1653"/>
        <s v="EMP1654"/>
        <s v="EMP1655"/>
        <s v="EMP1656"/>
        <s v="EMP1657"/>
        <s v="EMP1658"/>
        <s v="EMP1659"/>
        <s v="EMP1660"/>
        <s v="EMP1661"/>
        <s v="EMP1662"/>
        <s v="EMP1663"/>
        <s v="EMP1664"/>
        <s v="EMP1665"/>
        <s v="EMP1666"/>
        <s v="EMP1667"/>
        <s v="EMP1668"/>
        <s v="EMP1669"/>
        <s v="EMP1670"/>
        <s v="EMP1671"/>
        <s v="EMP1672"/>
        <s v="EMP1673"/>
        <s v="EMP1674"/>
        <s v="EMP1675"/>
        <s v="EMP1676"/>
        <s v="EMP1677"/>
        <s v="EMP1678"/>
        <s v="EMP1679"/>
        <s v="EMP1680"/>
        <s v="EMP1681"/>
        <s v="EMP1682"/>
        <s v="EMP1683"/>
        <s v="EMP1684"/>
        <s v="EMP1685"/>
        <s v="EMP1686"/>
        <s v="EMP1687"/>
        <s v="EMP1688"/>
        <s v="EMP1689"/>
        <s v="EMP1690"/>
        <s v="EMP1691"/>
        <s v="EMP1692"/>
        <s v="EMP1693"/>
        <s v="EMP1694"/>
        <s v="EMP1695"/>
        <s v="EMP1696"/>
        <s v="EMP1697"/>
        <s v="EMP1698"/>
        <s v="EMP1699"/>
        <s v="EMP1700"/>
        <s v="EMP1701"/>
        <s v="EMP1702"/>
        <s v="EMP1703"/>
        <s v="EMP1704"/>
        <s v="EMP1705"/>
        <s v="EMP1706"/>
        <s v="EMP1707"/>
        <s v="EMP1708"/>
        <s v="EMP1709"/>
        <s v="EMP1710"/>
        <s v="EMP1711"/>
        <s v="EMP1712"/>
        <s v="EMP1713"/>
        <s v="EMP1714"/>
        <s v="EMP1715"/>
        <s v="EMP1716"/>
        <s v="EMP1717"/>
        <s v="EMP1718"/>
        <s v="EMP1719"/>
        <s v="EMP1720"/>
        <s v="EMP1721"/>
        <s v="EMP1722"/>
        <s v="EMP1723"/>
        <s v="EMP1724"/>
        <s v="EMP1725"/>
        <s v="EMP1726"/>
        <s v="EMP1727"/>
        <s v="EMP1728"/>
        <s v="EMP1729"/>
        <s v="EMP1730"/>
        <s v="EMP1731"/>
        <s v="EMP1732"/>
        <s v="EMP1733"/>
        <s v="EMP1734"/>
        <s v="EMP1735"/>
        <s v="EMP1736"/>
        <s v="EMP1737"/>
        <s v="EMP1738"/>
        <s v="EMP1739"/>
        <s v="EMP1740"/>
        <s v="EMP1741"/>
        <s v="EMP1742"/>
        <s v="EMP1743"/>
        <s v="EMP1744"/>
        <s v="EMP1745"/>
        <s v="EMP1746"/>
        <s v="EMP1747"/>
        <s v="EMP1748"/>
        <s v="EMP1749"/>
        <s v="EMP1750"/>
        <s v="EMP1751"/>
        <s v="EMP1752"/>
        <s v="EMP1753"/>
        <s v="EMP1754"/>
        <s v="EMP1755"/>
        <s v="EMP1756"/>
        <s v="EMP1757"/>
        <s v="EMP1758"/>
        <s v="EMP1759"/>
        <s v="EMP1760"/>
        <s v="EMP1761"/>
        <s v="EMP1762"/>
        <s v="EMP1763"/>
        <s v="EMP1764"/>
        <s v="EMP1765"/>
        <s v="EMP1766"/>
        <s v="EMP1767"/>
        <s v="EMP1768"/>
        <s v="EMP1769"/>
        <s v="EMP1770"/>
        <s v="EMP1771"/>
        <s v="EMP1772"/>
        <s v="EMP1773"/>
        <s v="EMP1774"/>
        <s v="EMP1775"/>
        <s v="EMP1776"/>
        <s v="EMP1777"/>
        <s v="EMP1778"/>
        <s v="EMP1779"/>
        <s v="EMP1780"/>
        <s v="EMP1781"/>
        <s v="EMP1782"/>
        <s v="EMP1783"/>
        <s v="EMP1784"/>
        <s v="EMP1785"/>
        <s v="EMP1786"/>
        <s v="EMP1787"/>
        <s v="EMP1788"/>
        <s v="EMP1789"/>
        <s v="EMP1790"/>
        <s v="EMP1791"/>
        <s v="EMP1792"/>
        <s v="EMP1793"/>
        <s v="EMP1794"/>
        <s v="EMP1795"/>
        <s v="EMP1796"/>
        <s v="EMP1797"/>
        <s v="EMP1798"/>
        <s v="EMP1799"/>
        <s v="EMP1800"/>
        <s v="EMP1801"/>
        <s v="EMP1802"/>
        <s v="EMP1803"/>
        <s v="EMP1804"/>
        <s v="EMP1805"/>
        <s v="EMP1806"/>
        <s v="EMP1807"/>
        <s v="EMP1808"/>
        <s v="EMP1809"/>
        <s v="EMP1810"/>
        <s v="EMP1811"/>
        <s v="EMP1812"/>
        <s v="EMP1813"/>
        <s v="EMP1814"/>
        <s v="EMP1815"/>
        <s v="EMP1816"/>
        <s v="EMP1817"/>
        <s v="EMP1818"/>
        <s v="EMP1819"/>
        <s v="EMP1820"/>
        <s v="EMP1821"/>
        <s v="EMP1822"/>
        <s v="EMP1823"/>
        <s v="EMP1824"/>
        <s v="EMP1825"/>
        <s v="EMP1826"/>
        <s v="EMP1827"/>
        <s v="EMP1828"/>
        <s v="EMP1829"/>
        <s v="EMP1830"/>
        <s v="EMP1831"/>
        <s v="EMP1832"/>
        <s v="EMP1833"/>
        <s v="EMP1834"/>
        <s v="EMP1835"/>
        <s v="EMP1836"/>
        <s v="EMP1837"/>
        <s v="EMP1838"/>
        <s v="EMP1839"/>
        <s v="EMP1840"/>
        <s v="EMP1841"/>
        <s v="EMP1842"/>
        <s v="EMP1843"/>
        <s v="EMP1844"/>
        <s v="EMP1845"/>
        <s v="EMP1846"/>
        <s v="EMP1847"/>
        <s v="EMP1848"/>
        <s v="EMP1849"/>
        <s v="EMP1850"/>
        <s v="EMP1851"/>
        <s v="EMP1852"/>
        <s v="EMP1853"/>
        <s v="EMP1854"/>
        <s v="EMP1855"/>
        <s v="EMP1856"/>
        <s v="EMP1857"/>
        <s v="EMP1858"/>
        <s v="EMP1859"/>
        <s v="EMP1860"/>
        <s v="EMP1861"/>
        <s v="EMP1862"/>
        <s v="EMP1863"/>
        <s v="EMP1864"/>
        <s v="EMP1865"/>
        <s v="EMP1866"/>
        <s v="EMP1867"/>
        <s v="EMP1868"/>
        <s v="EMP1869"/>
        <s v="EMP1870"/>
        <s v="EMP1871"/>
        <s v="EMP1872"/>
        <s v="EMP1873"/>
        <s v="EMP1874"/>
        <s v="EMP1875"/>
        <s v="EMP1876"/>
        <s v="EMP1877"/>
        <s v="EMP1878"/>
        <s v="EMP1879"/>
        <s v="EMP1880"/>
        <s v="EMP1881"/>
        <s v="EMP1882"/>
        <s v="EMP1883"/>
        <s v="EMP1884"/>
        <s v="EMP1885"/>
        <s v="EMP1886"/>
        <s v="EMP1887"/>
        <s v="EMP1888"/>
        <s v="EMP1889"/>
        <s v="EMP1890"/>
        <s v="EMP1891"/>
        <s v="EMP1892"/>
        <s v="EMP1893"/>
        <s v="EMP1894"/>
        <s v="EMP1895"/>
        <s v="EMP1896"/>
        <s v="EMP1897"/>
        <s v="EMP1898"/>
        <s v="EMP1899"/>
        <s v="EMP1900"/>
        <s v="EMP1901"/>
        <s v="EMP1902"/>
        <s v="EMP1903"/>
        <s v="EMP1904"/>
        <s v="EMP1905"/>
        <s v="EMP1906"/>
        <s v="EMP1907"/>
        <s v="EMP1908"/>
        <s v="EMP1909"/>
        <s v="EMP1910"/>
        <s v="EMP1911"/>
        <s v="EMP1912"/>
        <s v="EMP1913"/>
        <s v="EMP1914"/>
        <s v="EMP1915"/>
        <s v="EMP1916"/>
        <s v="EMP1917"/>
        <s v="EMP1918"/>
        <s v="EMP1919"/>
        <s v="EMP1920"/>
        <s v="EMP1921"/>
        <s v="EMP1922"/>
        <s v="EMP1923"/>
        <s v="EMP1924"/>
        <s v="EMP1925"/>
        <s v="EMP1926"/>
        <s v="EMP1927"/>
        <s v="EMP1928"/>
        <s v="EMP1929"/>
        <s v="EMP1930"/>
        <s v="EMP1931"/>
        <s v="EMP1932"/>
        <s v="EMP1933"/>
        <s v="EMP1934"/>
        <s v="EMP1935"/>
        <s v="EMP1936"/>
        <s v="EMP1937"/>
        <s v="EMP1938"/>
        <s v="EMP1939"/>
        <s v="EMP1940"/>
        <s v="EMP1941"/>
        <s v="EMP1942"/>
        <s v="EMP1943"/>
        <s v="EMP1944"/>
        <s v="EMP1945"/>
        <s v="EMP1946"/>
        <s v="EMP1947"/>
        <s v="EMP1948"/>
        <s v="EMP1949"/>
        <s v="EMP1950"/>
        <s v="EMP1951"/>
        <s v="EMP1952"/>
        <s v="EMP1953"/>
        <s v="EMP1954"/>
        <s v="EMP1955"/>
        <s v="EMP1956"/>
        <s v="EMP1957"/>
        <s v="EMP1958"/>
        <s v="EMP1959"/>
        <s v="EMP1960"/>
        <s v="EMP1961"/>
        <s v="EMP1962"/>
        <s v="EMP1963"/>
        <s v="EMP1964"/>
        <s v="EMP1965"/>
        <s v="EMP1966"/>
        <s v="EMP1967"/>
        <s v="EMP1968"/>
        <s v="EMP1969"/>
        <s v="EMP1970"/>
        <s v="EMP1971"/>
        <s v="EMP1972"/>
        <s v="EMP1973"/>
        <s v="EMP1974"/>
        <s v="EMP1975"/>
        <s v="EMP1976"/>
        <s v="EMP1977"/>
        <s v="EMP1978"/>
        <s v="EMP1979"/>
        <s v="EMP1980"/>
        <s v="EMP1981"/>
        <s v="EMP1982"/>
        <s v="EMP1983"/>
        <s v="EMP1984"/>
        <s v="EMP1985"/>
        <s v="EMP1986"/>
        <s v="EMP1987"/>
        <s v="EMP1988"/>
        <s v="EMP1989"/>
        <s v="EMP1990"/>
        <s v="EMP1991"/>
        <s v="EMP1992"/>
        <s v="EMP1993"/>
        <s v="EMP1994"/>
        <s v="EMP1995"/>
        <s v="EMP1996"/>
        <s v="EMP1997"/>
        <s v="EMP1998"/>
        <s v="EMP1999"/>
        <s v="EMP2000"/>
        <s v="EMP2001"/>
        <s v="EMP2002"/>
        <s v="EMP2003"/>
        <s v="EMP2004"/>
        <s v="EMP2005"/>
        <s v="EMP2006"/>
        <s v="EMP2007"/>
        <s v="EMP2008"/>
        <s v="EMP2009"/>
        <s v="EMP2010"/>
        <s v="EMP2011"/>
        <s v="EMP2012"/>
        <s v="EMP2013"/>
        <s v="EMP2014"/>
        <s v="EMP2015"/>
        <s v="EMP2016"/>
        <s v="EMP2017"/>
        <s v="EMP2018"/>
        <s v="EMP2019"/>
      </sharedItems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5" maxValue="40" count="5">
        <n v="25"/>
        <n v="32"/>
        <n v="40"/>
        <n v="30"/>
        <n v="35"/>
      </sharedItems>
    </cacheField>
    <cacheField name="Department_Region" numFmtId="0">
      <sharedItems count="36">
        <s v="DevOps-California"/>
        <s v="Finance-Texas"/>
        <s v="Admin-Nevada"/>
        <s v="Cloud Tech-Florida"/>
        <s v="Sales-Texas"/>
        <s v="DevOps-New York"/>
        <s v="Cloud Tech-New York"/>
        <s v="HR-New York"/>
        <s v="Finance-California"/>
        <s v="Sales-Florida"/>
        <s v="DevOps-Illinois"/>
        <s v="Cloud Tech-Nevada"/>
        <s v="Admin-Illinois"/>
        <s v="Cloud Tech-Illinois"/>
        <s v="Sales-Illinois"/>
        <s v="Finance-Nevada"/>
        <s v="Admin-Texas"/>
        <s v="Sales-New York"/>
        <s v="Finance-Florida"/>
        <s v="Admin-California"/>
        <s v="HR-Texas"/>
        <s v="HR-California"/>
        <s v="HR-Nevada"/>
        <s v="Cloud Tech-Texas"/>
        <s v="Sales-California"/>
        <s v="HR-Illinois"/>
        <s v="Admin-New York"/>
        <s v="Admin-Florida"/>
        <s v="HR-Florida"/>
        <s v="Sales-Nevada"/>
        <s v="Finance-New York"/>
        <s v="DevOps-Florida"/>
        <s v="DevOps-Texas"/>
        <s v="Finance-Illinois"/>
        <s v="Cloud Tech-California"/>
        <s v="DevOps-Nevada"/>
      </sharedItems>
    </cacheField>
    <cacheField name="Status" numFmtId="0">
      <sharedItems/>
    </cacheField>
    <cacheField name="Join_Date" numFmtId="49">
      <sharedItems/>
    </cacheField>
    <cacheField name="Salary" numFmtId="41">
      <sharedItems containsSemiMixedTypes="0" containsString="0" containsNumber="1" minValue="50047.32" maxValue="119971.65"/>
    </cacheField>
    <cacheField name="Email" numFmtId="0">
      <sharedItems/>
    </cacheField>
    <cacheField name="Phone" numFmtId="0">
      <sharedItems containsSemiMixedTypes="0" containsString="0" containsNumber="1" containsInteger="1" minValue="-9994973202" maxValue="-3896086"/>
    </cacheField>
    <cacheField name="Performance_Score" numFmtId="0">
      <sharedItems count="4">
        <s v="Average"/>
        <s v="Excellent"/>
        <s v="Good"/>
        <s v="Poor"/>
      </sharedItems>
    </cacheField>
    <cacheField name="Remote_Work" numFmtId="0">
      <sharedItems/>
    </cacheField>
    <cacheField name="date_Clean" numFmtId="173">
      <sharedItems containsSemiMixedTypes="0" containsNonDate="0" containsDate="1" containsString="0" minDate="2020-01-01T00:00:00" maxDate="2024-12-30T00:00:00"/>
    </cacheField>
    <cacheField name="Department" numFmtId="0">
      <sharedItems count="6">
        <s v="DevOps"/>
        <s v="Finance"/>
        <s v="Admin"/>
        <s v="Cloud Tech"/>
        <s v="Sales"/>
        <s v="HR"/>
      </sharedItems>
    </cacheField>
    <cacheField name="Location_Department" numFmtId="0">
      <sharedItems count="6">
        <s v="California"/>
        <s v="Texas"/>
        <s v="Nevada"/>
        <s v="Florida"/>
        <s v="New York"/>
        <s v="Illinois"/>
      </sharedItems>
    </cacheField>
    <cacheField name="Standart_Gaji" numFmtId="0">
      <sharedItems count="3">
        <s v="Underpaid"/>
        <s v="Standart"/>
        <s v="Overpaid"/>
      </sharedItems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n v="0"/>
    <x v="0"/>
    <s v="Bob"/>
    <s v="Davis"/>
    <x v="0"/>
    <x v="0"/>
    <s v="Active"/>
    <s v="04/02/2021"/>
    <n v="59767.65"/>
    <s v="bob.davis@example.com"/>
    <n v="-1651623197"/>
    <x v="0"/>
    <b v="1"/>
    <d v="2021-04-02T00:00:00"/>
    <x v="0"/>
    <x v="0"/>
    <x v="0"/>
    <m/>
  </r>
  <r>
    <n v="1"/>
    <x v="1"/>
    <s v="Bob"/>
    <s v="Brown"/>
    <x v="1"/>
    <x v="1"/>
    <s v="Active"/>
    <s v="07/10/2020"/>
    <n v="65304.66"/>
    <s v="bob.brown@example.com"/>
    <n v="-1898471390"/>
    <x v="1"/>
    <b v="1"/>
    <d v="2020-07-10T00:00:00"/>
    <x v="1"/>
    <x v="1"/>
    <x v="1"/>
    <m/>
  </r>
  <r>
    <n v="2"/>
    <x v="2"/>
    <s v="Alice"/>
    <s v="Jones"/>
    <x v="1"/>
    <x v="2"/>
    <s v="Pending"/>
    <s v="12/07/2023"/>
    <n v="88145.9"/>
    <s v="alice.jones@example.com"/>
    <n v="-5596363211"/>
    <x v="2"/>
    <b v="1"/>
    <d v="2023-12-07T00:00:00"/>
    <x v="2"/>
    <x v="2"/>
    <x v="2"/>
    <m/>
  </r>
  <r>
    <n v="3"/>
    <x v="3"/>
    <s v="Eva"/>
    <s v="Davis"/>
    <x v="0"/>
    <x v="2"/>
    <s v="Inactive"/>
    <s v="11/27/2021"/>
    <n v="69450.990000000005"/>
    <s v="eva.davis@example.com"/>
    <n v="-3476490784"/>
    <x v="2"/>
    <b v="1"/>
    <d v="2021-11-27T00:00:00"/>
    <x v="2"/>
    <x v="2"/>
    <x v="1"/>
    <m/>
  </r>
  <r>
    <n v="4"/>
    <x v="4"/>
    <s v="Frank"/>
    <s v="Williams"/>
    <x v="0"/>
    <x v="3"/>
    <s v="Active"/>
    <s v="01/05/2022"/>
    <n v="109324.61"/>
    <s v="frank.williams@example.com"/>
    <n v="-1586734256"/>
    <x v="3"/>
    <b v="0"/>
    <d v="2022-01-05T00:00:00"/>
    <x v="3"/>
    <x v="3"/>
    <x v="1"/>
    <m/>
  </r>
  <r>
    <n v="5"/>
    <x v="5"/>
    <s v="Alice"/>
    <s v="Garcia"/>
    <x v="2"/>
    <x v="4"/>
    <s v="Inactive"/>
    <s v="06/10/2020"/>
    <n v="88642.84"/>
    <s v="alice.garcia@example.com"/>
    <n v="-5409003485"/>
    <x v="2"/>
    <b v="0"/>
    <d v="2020-06-10T00:00:00"/>
    <x v="4"/>
    <x v="1"/>
    <x v="1"/>
    <m/>
  </r>
  <r>
    <n v="6"/>
    <x v="6"/>
    <s v="Frank"/>
    <s v="Jones"/>
    <x v="1"/>
    <x v="2"/>
    <s v="Active"/>
    <s v="04/03/2020"/>
    <n v="96288.43"/>
    <s v="frank.jones@example.com"/>
    <n v="-4518376063"/>
    <x v="2"/>
    <b v="0"/>
    <d v="2020-04-03T00:00:00"/>
    <x v="2"/>
    <x v="2"/>
    <x v="2"/>
    <m/>
  </r>
  <r>
    <n v="7"/>
    <x v="7"/>
    <s v="Bob"/>
    <s v="Jones"/>
    <x v="3"/>
    <x v="3"/>
    <s v="Inactive"/>
    <s v="7/17/2022"/>
    <n v="94497.91"/>
    <s v="bob.jones@example.com"/>
    <n v="-4134327559"/>
    <x v="0"/>
    <b v="1"/>
    <d v="2022-07-17T00:00:00"/>
    <x v="3"/>
    <x v="3"/>
    <x v="1"/>
    <m/>
  </r>
  <r>
    <n v="8"/>
    <x v="8"/>
    <s v="Frank"/>
    <s v="Davis"/>
    <x v="4"/>
    <x v="2"/>
    <s v="Inactive"/>
    <s v="12/08/2023"/>
    <n v="115565.82"/>
    <s v="frank.davis@example.com"/>
    <n v="-4177656123"/>
    <x v="1"/>
    <b v="1"/>
    <d v="2023-12-08T00:00:00"/>
    <x v="2"/>
    <x v="2"/>
    <x v="2"/>
    <m/>
  </r>
  <r>
    <n v="9"/>
    <x v="9"/>
    <s v="Charlie"/>
    <s v="Johnson"/>
    <x v="1"/>
    <x v="5"/>
    <s v="Active"/>
    <s v="08/04/2022"/>
    <n v="76561.88"/>
    <s v="charlie.johnson@example.com"/>
    <n v="-8156985699"/>
    <x v="1"/>
    <b v="1"/>
    <d v="2022-08-04T00:00:00"/>
    <x v="0"/>
    <x v="4"/>
    <x v="0"/>
    <m/>
  </r>
  <r>
    <n v="10"/>
    <x v="10"/>
    <s v="David"/>
    <s v="Williams"/>
    <x v="4"/>
    <x v="6"/>
    <s v="Active"/>
    <s v="07/06/2024"/>
    <n v="72081.710000000006"/>
    <s v="david.williams@example.com"/>
    <n v="-2720634590"/>
    <x v="0"/>
    <b v="0"/>
    <d v="2024-07-06T00:00:00"/>
    <x v="3"/>
    <x v="4"/>
    <x v="0"/>
    <m/>
  </r>
  <r>
    <n v="11"/>
    <x v="11"/>
    <s v="David"/>
    <s v="Davis"/>
    <x v="1"/>
    <x v="0"/>
    <s v="Active"/>
    <s v="09/04/2023"/>
    <n v="84946.19"/>
    <s v="david.davis@example.com"/>
    <n v="-1238296576"/>
    <x v="3"/>
    <b v="1"/>
    <d v="2023-09-04T00:00:00"/>
    <x v="0"/>
    <x v="0"/>
    <x v="0"/>
    <m/>
  </r>
  <r>
    <n v="12"/>
    <x v="12"/>
    <s v="Heidi"/>
    <s v="Williams"/>
    <x v="3"/>
    <x v="7"/>
    <s v="Active"/>
    <s v="03/05/2024"/>
    <n v="89295.77"/>
    <s v="heidi.williams@example.com"/>
    <n v="-2429543164"/>
    <x v="1"/>
    <b v="0"/>
    <d v="2024-03-05T00:00:00"/>
    <x v="5"/>
    <x v="4"/>
    <x v="2"/>
    <m/>
  </r>
  <r>
    <n v="13"/>
    <x v="13"/>
    <s v="Grace"/>
    <s v="Williams"/>
    <x v="1"/>
    <x v="8"/>
    <s v="Active"/>
    <s v="10/10/2020"/>
    <n v="85666.84"/>
    <s v="grace.williams@example.com"/>
    <n v="-2669300892"/>
    <x v="2"/>
    <b v="0"/>
    <d v="2020-10-10T00:00:00"/>
    <x v="1"/>
    <x v="0"/>
    <x v="1"/>
    <m/>
  </r>
  <r>
    <n v="14"/>
    <x v="14"/>
    <s v="Alice"/>
    <s v="Garcia"/>
    <x v="0"/>
    <x v="2"/>
    <s v="Active"/>
    <s v="06/10/2024"/>
    <n v="97633.68"/>
    <s v="alice.garcia@example.com"/>
    <n v="-1734206968"/>
    <x v="1"/>
    <b v="1"/>
    <d v="2024-06-10T00:00:00"/>
    <x v="2"/>
    <x v="2"/>
    <x v="2"/>
    <m/>
  </r>
  <r>
    <n v="15"/>
    <x v="15"/>
    <s v="Grace"/>
    <s v="Jones"/>
    <x v="2"/>
    <x v="9"/>
    <s v="Pending"/>
    <s v="5/29/2021"/>
    <n v="117975.49"/>
    <s v="grace.jones@example.com"/>
    <n v="-4215291085"/>
    <x v="2"/>
    <b v="1"/>
    <d v="2021-05-29T00:00:00"/>
    <x v="4"/>
    <x v="3"/>
    <x v="2"/>
    <m/>
  </r>
  <r>
    <n v="16"/>
    <x v="16"/>
    <s v="Alice"/>
    <s v="Brown"/>
    <x v="0"/>
    <x v="10"/>
    <s v="Inactive"/>
    <s v="4/23/2024"/>
    <n v="94867.33"/>
    <s v="alice.brown@example.com"/>
    <n v="-7713334475"/>
    <x v="3"/>
    <b v="0"/>
    <d v="2024-04-23T00:00:00"/>
    <x v="0"/>
    <x v="5"/>
    <x v="1"/>
    <m/>
  </r>
  <r>
    <n v="17"/>
    <x v="17"/>
    <s v="Grace"/>
    <s v="Garcia"/>
    <x v="3"/>
    <x v="1"/>
    <s v="Pending"/>
    <s v="11/28/2024"/>
    <n v="100377.65"/>
    <s v="grace.garcia@example.com"/>
    <n v="-2639343625"/>
    <x v="0"/>
    <b v="1"/>
    <d v="2024-11-28T00:00:00"/>
    <x v="1"/>
    <x v="1"/>
    <x v="1"/>
    <m/>
  </r>
  <r>
    <n v="18"/>
    <x v="18"/>
    <s v="Charlie"/>
    <s v="Garcia"/>
    <x v="1"/>
    <x v="11"/>
    <s v="Inactive"/>
    <s v="9/19/2024"/>
    <n v="94726.46"/>
    <s v="charlie.garcia@example.com"/>
    <n v="-2044397358"/>
    <x v="1"/>
    <b v="0"/>
    <d v="2024-09-19T00:00:00"/>
    <x v="3"/>
    <x v="2"/>
    <x v="1"/>
    <m/>
  </r>
  <r>
    <n v="19"/>
    <x v="19"/>
    <s v="Charlie"/>
    <s v="Williams"/>
    <x v="4"/>
    <x v="12"/>
    <s v="Pending"/>
    <s v="01/02/2020"/>
    <n v="91926.12"/>
    <s v="charlie.williams@example.com"/>
    <n v="-7107256365"/>
    <x v="0"/>
    <b v="1"/>
    <d v="2020-01-02T00:00:00"/>
    <x v="2"/>
    <x v="5"/>
    <x v="2"/>
    <m/>
  </r>
  <r>
    <n v="20"/>
    <x v="20"/>
    <s v="Bob"/>
    <s v="Miller"/>
    <x v="4"/>
    <x v="7"/>
    <s v="Active"/>
    <s v="05/08/2021"/>
    <n v="111460.67"/>
    <s v="bob.miller@example.com"/>
    <n v="-9411800536"/>
    <x v="1"/>
    <b v="1"/>
    <d v="2021-05-08T00:00:00"/>
    <x v="5"/>
    <x v="4"/>
    <x v="2"/>
    <m/>
  </r>
  <r>
    <n v="21"/>
    <x v="21"/>
    <s v="Bob"/>
    <s v="Jones"/>
    <x v="2"/>
    <x v="13"/>
    <s v="Active"/>
    <s v="9/19/2020"/>
    <n v="96182.56"/>
    <s v="bob.jones@example.com"/>
    <n v="-5990048963"/>
    <x v="2"/>
    <b v="0"/>
    <d v="2020-09-19T00:00:00"/>
    <x v="3"/>
    <x v="5"/>
    <x v="1"/>
    <m/>
  </r>
  <r>
    <n v="22"/>
    <x v="22"/>
    <s v="Charlie"/>
    <s v="Johnson"/>
    <x v="4"/>
    <x v="14"/>
    <s v="Inactive"/>
    <s v="03/09/2021"/>
    <n v="115023.94"/>
    <s v="charlie.johnson@example.com"/>
    <n v="-6528092427"/>
    <x v="0"/>
    <b v="1"/>
    <d v="2021-03-09T00:00:00"/>
    <x v="4"/>
    <x v="5"/>
    <x v="2"/>
    <m/>
  </r>
  <r>
    <n v="23"/>
    <x v="23"/>
    <s v="David"/>
    <s v="Garcia"/>
    <x v="4"/>
    <x v="15"/>
    <s v="Pending"/>
    <s v="02/03/2022"/>
    <n v="80667.009999999995"/>
    <s v="david.garcia@example.com"/>
    <n v="-7572158623"/>
    <x v="1"/>
    <b v="0"/>
    <d v="2022-02-03T00:00:00"/>
    <x v="1"/>
    <x v="2"/>
    <x v="1"/>
    <m/>
  </r>
  <r>
    <n v="24"/>
    <x v="24"/>
    <s v="Bob"/>
    <s v="Brown"/>
    <x v="3"/>
    <x v="16"/>
    <s v="Inactive"/>
    <s v="2/13/2020"/>
    <n v="91181.61"/>
    <s v="bob.brown@example.com"/>
    <n v="-1502745643"/>
    <x v="2"/>
    <b v="1"/>
    <d v="2020-02-13T00:00:00"/>
    <x v="2"/>
    <x v="1"/>
    <x v="2"/>
    <m/>
  </r>
  <r>
    <n v="25"/>
    <x v="25"/>
    <s v="David"/>
    <s v="Miller"/>
    <x v="0"/>
    <x v="11"/>
    <s v="Pending"/>
    <s v="4/30/2020"/>
    <n v="66025.919999999998"/>
    <s v="david.miller@example.com"/>
    <n v="-9485625727"/>
    <x v="0"/>
    <b v="0"/>
    <d v="2020-04-30T00:00:00"/>
    <x v="3"/>
    <x v="2"/>
    <x v="0"/>
    <m/>
  </r>
  <r>
    <n v="26"/>
    <x v="26"/>
    <s v="Frank"/>
    <s v="Miller"/>
    <x v="0"/>
    <x v="17"/>
    <s v="Inactive"/>
    <s v="10/02/2023"/>
    <n v="83979.01"/>
    <s v="frank.miller@example.com"/>
    <n v="-7032032073"/>
    <x v="0"/>
    <b v="0"/>
    <d v="2023-10-02T00:00:00"/>
    <x v="4"/>
    <x v="4"/>
    <x v="1"/>
    <m/>
  </r>
  <r>
    <n v="27"/>
    <x v="27"/>
    <s v="Heidi"/>
    <s v="Johnson"/>
    <x v="3"/>
    <x v="18"/>
    <s v="Active"/>
    <s v="07/12/2020"/>
    <n v="56785.16"/>
    <s v="heidi.johnson@example.com"/>
    <n v="-2761707586"/>
    <x v="1"/>
    <b v="1"/>
    <d v="2020-07-12T00:00:00"/>
    <x v="1"/>
    <x v="3"/>
    <x v="0"/>
    <m/>
  </r>
  <r>
    <n v="28"/>
    <x v="28"/>
    <s v="Grace"/>
    <s v="Garcia"/>
    <x v="2"/>
    <x v="15"/>
    <s v="Active"/>
    <s v="10/11/2023"/>
    <n v="95741.88"/>
    <s v="grace.garcia@example.com"/>
    <n v="-7712151341"/>
    <x v="1"/>
    <b v="0"/>
    <d v="2023-10-11T00:00:00"/>
    <x v="1"/>
    <x v="2"/>
    <x v="1"/>
    <m/>
  </r>
  <r>
    <n v="29"/>
    <x v="29"/>
    <s v="Alice"/>
    <s v="Brown"/>
    <x v="2"/>
    <x v="0"/>
    <s v="Active"/>
    <s v="5/24/2021"/>
    <n v="63411.31"/>
    <s v="alice.brown@example.com"/>
    <n v="-2849939088"/>
    <x v="1"/>
    <b v="1"/>
    <d v="2021-05-24T00:00:00"/>
    <x v="0"/>
    <x v="0"/>
    <x v="0"/>
    <m/>
  </r>
  <r>
    <n v="30"/>
    <x v="30"/>
    <s v="Charlie"/>
    <s v="Jones"/>
    <x v="2"/>
    <x v="19"/>
    <s v="Inactive"/>
    <s v="5/26/2021"/>
    <n v="111214.02"/>
    <s v="charlie.jones@example.com"/>
    <n v="-2613715040"/>
    <x v="2"/>
    <b v="1"/>
    <d v="2021-05-26T00:00:00"/>
    <x v="2"/>
    <x v="0"/>
    <x v="2"/>
    <m/>
  </r>
  <r>
    <n v="31"/>
    <x v="31"/>
    <s v="Bob"/>
    <s v="Smith"/>
    <x v="0"/>
    <x v="10"/>
    <s v="Active"/>
    <s v="07/10/2020"/>
    <n v="114845.69"/>
    <s v="bob.smith@example.com"/>
    <n v="-6591520176"/>
    <x v="1"/>
    <b v="1"/>
    <d v="2020-07-10T00:00:00"/>
    <x v="0"/>
    <x v="5"/>
    <x v="1"/>
    <m/>
  </r>
  <r>
    <n v="32"/>
    <x v="32"/>
    <s v="Charlie"/>
    <s v="Brown"/>
    <x v="2"/>
    <x v="18"/>
    <s v="Active"/>
    <s v="11/05/2024"/>
    <n v="78072.820000000007"/>
    <s v="charlie.brown@example.com"/>
    <n v="-7490509758"/>
    <x v="0"/>
    <b v="0"/>
    <d v="2024-11-05T00:00:00"/>
    <x v="1"/>
    <x v="3"/>
    <x v="1"/>
    <m/>
  </r>
  <r>
    <n v="33"/>
    <x v="33"/>
    <s v="Grace"/>
    <s v="Johnson"/>
    <x v="0"/>
    <x v="8"/>
    <s v="Inactive"/>
    <s v="08/07/2021"/>
    <n v="79610.52"/>
    <s v="grace.johnson@example.com"/>
    <n v="-2304501895"/>
    <x v="0"/>
    <b v="0"/>
    <d v="2021-08-07T00:00:00"/>
    <x v="1"/>
    <x v="0"/>
    <x v="1"/>
    <m/>
  </r>
  <r>
    <n v="34"/>
    <x v="34"/>
    <s v="Heidi"/>
    <s v="Miller"/>
    <x v="3"/>
    <x v="19"/>
    <s v="Active"/>
    <s v="4/29/2020"/>
    <n v="90542.62"/>
    <s v="heidi.miller@example.com"/>
    <n v="-1642361031"/>
    <x v="1"/>
    <b v="1"/>
    <d v="2020-04-29T00:00:00"/>
    <x v="2"/>
    <x v="0"/>
    <x v="2"/>
    <m/>
  </r>
  <r>
    <n v="35"/>
    <x v="35"/>
    <s v="Frank"/>
    <s v="Jones"/>
    <x v="0"/>
    <x v="13"/>
    <s v="Inactive"/>
    <s v="10/26/2022"/>
    <n v="114357.1"/>
    <s v="frank.jones@example.com"/>
    <n v="-6642147648"/>
    <x v="1"/>
    <b v="1"/>
    <d v="2022-10-26T00:00:00"/>
    <x v="3"/>
    <x v="5"/>
    <x v="1"/>
    <m/>
  </r>
  <r>
    <n v="36"/>
    <x v="36"/>
    <s v="Alice"/>
    <s v="Brown"/>
    <x v="1"/>
    <x v="6"/>
    <s v="Active"/>
    <s v="05/03/2023"/>
    <n v="54757.26"/>
    <s v="alice.brown@example.com"/>
    <n v="-2515837766"/>
    <x v="3"/>
    <b v="0"/>
    <d v="2023-05-03T00:00:00"/>
    <x v="3"/>
    <x v="4"/>
    <x v="0"/>
    <m/>
  </r>
  <r>
    <n v="37"/>
    <x v="37"/>
    <s v="Grace"/>
    <s v="Smith"/>
    <x v="0"/>
    <x v="17"/>
    <s v="Pending"/>
    <s v="05/02/2023"/>
    <n v="52781.919999999998"/>
    <s v="grace.smith@example.com"/>
    <n v="-4996165925"/>
    <x v="0"/>
    <b v="1"/>
    <d v="2023-05-02T00:00:00"/>
    <x v="4"/>
    <x v="4"/>
    <x v="1"/>
    <m/>
  </r>
  <r>
    <n v="38"/>
    <x v="38"/>
    <s v="Frank"/>
    <s v="Smith"/>
    <x v="4"/>
    <x v="2"/>
    <s v="Pending"/>
    <s v="10/05/2021"/>
    <n v="66708.02"/>
    <s v="frank.smith@example.com"/>
    <n v="-6108573277"/>
    <x v="2"/>
    <b v="1"/>
    <d v="2021-10-05T00:00:00"/>
    <x v="2"/>
    <x v="2"/>
    <x v="1"/>
    <m/>
  </r>
  <r>
    <n v="39"/>
    <x v="39"/>
    <s v="Eva"/>
    <s v="Williams"/>
    <x v="2"/>
    <x v="20"/>
    <s v="Active"/>
    <s v="7/27/2022"/>
    <n v="93481.15"/>
    <s v="eva.williams@example.com"/>
    <n v="-8147617421"/>
    <x v="3"/>
    <b v="0"/>
    <d v="2022-07-27T00:00:00"/>
    <x v="5"/>
    <x v="1"/>
    <x v="2"/>
    <m/>
  </r>
  <r>
    <n v="40"/>
    <x v="40"/>
    <s v="Bob"/>
    <s v="Williams"/>
    <x v="0"/>
    <x v="17"/>
    <s v="Pending"/>
    <s v="6/27/2021"/>
    <n v="59271.96"/>
    <s v="bob.williams@example.com"/>
    <n v="-4386490809"/>
    <x v="1"/>
    <b v="1"/>
    <d v="2021-06-27T00:00:00"/>
    <x v="4"/>
    <x v="4"/>
    <x v="1"/>
    <m/>
  </r>
  <r>
    <n v="41"/>
    <x v="41"/>
    <s v="Bob"/>
    <s v="Davis"/>
    <x v="3"/>
    <x v="21"/>
    <s v="Active"/>
    <s v="6/16/2022"/>
    <n v="108362.15"/>
    <s v="bob.davis@example.com"/>
    <n v="-8186617944"/>
    <x v="1"/>
    <b v="0"/>
    <d v="2022-06-16T00:00:00"/>
    <x v="5"/>
    <x v="0"/>
    <x v="2"/>
    <m/>
  </r>
  <r>
    <n v="42"/>
    <x v="42"/>
    <s v="Alice"/>
    <s v="Johnson"/>
    <x v="1"/>
    <x v="22"/>
    <s v="Active"/>
    <s v="12/03/2024"/>
    <n v="59400.38"/>
    <s v="alice.johnson@example.com"/>
    <n v="-4918017225"/>
    <x v="0"/>
    <b v="1"/>
    <d v="2024-12-03T00:00:00"/>
    <x v="5"/>
    <x v="2"/>
    <x v="1"/>
    <m/>
  </r>
  <r>
    <n v="43"/>
    <x v="43"/>
    <s v="Bob"/>
    <s v="Garcia"/>
    <x v="1"/>
    <x v="19"/>
    <s v="Inactive"/>
    <s v="5/23/2023"/>
    <n v="64744.08"/>
    <s v="bob.garcia@example.com"/>
    <n v="-164597793"/>
    <x v="1"/>
    <b v="0"/>
    <d v="2023-05-23T00:00:00"/>
    <x v="2"/>
    <x v="0"/>
    <x v="1"/>
    <m/>
  </r>
  <r>
    <n v="44"/>
    <x v="44"/>
    <s v="Eva"/>
    <s v="Brown"/>
    <x v="1"/>
    <x v="8"/>
    <s v="Active"/>
    <s v="07/08/2020"/>
    <n v="94399.91"/>
    <s v="eva.brown@example.com"/>
    <n v="-5232194167"/>
    <x v="2"/>
    <b v="1"/>
    <d v="2020-07-08T00:00:00"/>
    <x v="1"/>
    <x v="0"/>
    <x v="1"/>
    <m/>
  </r>
  <r>
    <n v="45"/>
    <x v="45"/>
    <s v="Alice"/>
    <s v="Brown"/>
    <x v="0"/>
    <x v="7"/>
    <s v="Pending"/>
    <s v="6/20/2021"/>
    <n v="61310.74"/>
    <s v="alice.brown@example.com"/>
    <n v="-61027768"/>
    <x v="0"/>
    <b v="1"/>
    <d v="2021-06-20T00:00:00"/>
    <x v="5"/>
    <x v="4"/>
    <x v="1"/>
    <m/>
  </r>
  <r>
    <n v="46"/>
    <x v="46"/>
    <s v="Grace"/>
    <s v="Garcia"/>
    <x v="1"/>
    <x v="23"/>
    <s v="Active"/>
    <s v="12/13/2024"/>
    <n v="98371.37"/>
    <s v="grace.garcia@example.com"/>
    <n v="-7499564121"/>
    <x v="1"/>
    <b v="0"/>
    <d v="2024-12-13T00:00:00"/>
    <x v="3"/>
    <x v="1"/>
    <x v="1"/>
    <m/>
  </r>
  <r>
    <n v="47"/>
    <x v="47"/>
    <s v="Alice"/>
    <s v="Davis"/>
    <x v="4"/>
    <x v="14"/>
    <s v="Active"/>
    <s v="5/30/2022"/>
    <n v="58921.19"/>
    <s v="alice.davis@example.com"/>
    <n v="-310303722"/>
    <x v="0"/>
    <b v="1"/>
    <d v="2022-05-30T00:00:00"/>
    <x v="4"/>
    <x v="5"/>
    <x v="1"/>
    <m/>
  </r>
  <r>
    <n v="48"/>
    <x v="48"/>
    <s v="Alice"/>
    <s v="Miller"/>
    <x v="4"/>
    <x v="2"/>
    <s v="Active"/>
    <s v="9/27/2023"/>
    <n v="57195.55"/>
    <s v="alice.miller@example.com"/>
    <n v="-6831472759"/>
    <x v="1"/>
    <b v="0"/>
    <d v="2023-09-27T00:00:00"/>
    <x v="2"/>
    <x v="2"/>
    <x v="1"/>
    <m/>
  </r>
  <r>
    <n v="49"/>
    <x v="49"/>
    <s v="Grace"/>
    <s v="Miller"/>
    <x v="1"/>
    <x v="5"/>
    <s v="Active"/>
    <s v="11/05/2024"/>
    <n v="61375.12"/>
    <s v="grace.miller@example.com"/>
    <n v="-1227770792"/>
    <x v="1"/>
    <b v="1"/>
    <d v="2024-11-05T00:00:00"/>
    <x v="0"/>
    <x v="4"/>
    <x v="0"/>
    <m/>
  </r>
  <r>
    <n v="50"/>
    <x v="50"/>
    <s v="Charlie"/>
    <s v="Davis"/>
    <x v="2"/>
    <x v="6"/>
    <s v="Pending"/>
    <s v="11/11/2021"/>
    <n v="104767.05"/>
    <s v="charlie.davis@example.com"/>
    <n v="-3496050165"/>
    <x v="1"/>
    <b v="0"/>
    <d v="2021-11-11T00:00:00"/>
    <x v="3"/>
    <x v="4"/>
    <x v="1"/>
    <m/>
  </r>
  <r>
    <n v="51"/>
    <x v="51"/>
    <s v="David"/>
    <s v="Miller"/>
    <x v="4"/>
    <x v="2"/>
    <s v="Active"/>
    <s v="2/22/2022"/>
    <n v="111051.67"/>
    <s v="david.miller@example.com"/>
    <n v="-7998407677"/>
    <x v="2"/>
    <b v="0"/>
    <d v="2022-02-22T00:00:00"/>
    <x v="2"/>
    <x v="2"/>
    <x v="2"/>
    <m/>
  </r>
  <r>
    <n v="52"/>
    <x v="52"/>
    <s v="David"/>
    <s v="Williams"/>
    <x v="3"/>
    <x v="8"/>
    <s v="Inactive"/>
    <s v="08/07/2024"/>
    <n v="105674.18"/>
    <s v="david.williams@example.com"/>
    <n v="-9973080694"/>
    <x v="2"/>
    <b v="0"/>
    <d v="2024-08-07T00:00:00"/>
    <x v="1"/>
    <x v="0"/>
    <x v="2"/>
    <m/>
  </r>
  <r>
    <n v="53"/>
    <x v="53"/>
    <s v="Alice"/>
    <s v="Brown"/>
    <x v="3"/>
    <x v="8"/>
    <s v="Inactive"/>
    <s v="11/05/2024"/>
    <n v="54859.45"/>
    <s v="alice.brown@example.com"/>
    <n v="-8146717956"/>
    <x v="0"/>
    <b v="0"/>
    <d v="2024-11-05T00:00:00"/>
    <x v="1"/>
    <x v="0"/>
    <x v="0"/>
    <m/>
  </r>
  <r>
    <n v="54"/>
    <x v="54"/>
    <s v="Frank"/>
    <s v="Davis"/>
    <x v="1"/>
    <x v="15"/>
    <s v="Pending"/>
    <s v="11/09/2021"/>
    <n v="115746.6"/>
    <s v="frank.davis@example.com"/>
    <n v="-6024375737"/>
    <x v="1"/>
    <b v="1"/>
    <d v="2021-11-09T00:00:00"/>
    <x v="1"/>
    <x v="2"/>
    <x v="2"/>
    <m/>
  </r>
  <r>
    <n v="55"/>
    <x v="55"/>
    <s v="Eva"/>
    <s v="Brown"/>
    <x v="3"/>
    <x v="24"/>
    <s v="Active"/>
    <s v="08/10/2020"/>
    <n v="91759.99"/>
    <s v="eva.brown@example.com"/>
    <n v="-3959724664"/>
    <x v="1"/>
    <b v="1"/>
    <d v="2020-08-10T00:00:00"/>
    <x v="4"/>
    <x v="0"/>
    <x v="1"/>
    <m/>
  </r>
  <r>
    <n v="56"/>
    <x v="56"/>
    <s v="Frank"/>
    <s v="Garcia"/>
    <x v="2"/>
    <x v="14"/>
    <s v="Active"/>
    <s v="2/27/2022"/>
    <n v="112965.33"/>
    <s v="frank.garcia@example.com"/>
    <n v="-7293417222"/>
    <x v="2"/>
    <b v="0"/>
    <d v="2022-02-27T00:00:00"/>
    <x v="4"/>
    <x v="5"/>
    <x v="2"/>
    <m/>
  </r>
  <r>
    <n v="57"/>
    <x v="57"/>
    <s v="Alice"/>
    <s v="Smith"/>
    <x v="2"/>
    <x v="13"/>
    <s v="Pending"/>
    <s v="11/07/2023"/>
    <n v="100360.1"/>
    <s v="alice.smith@example.com"/>
    <n v="-2971674337"/>
    <x v="1"/>
    <b v="0"/>
    <d v="2023-11-07T00:00:00"/>
    <x v="3"/>
    <x v="5"/>
    <x v="1"/>
    <m/>
  </r>
  <r>
    <n v="58"/>
    <x v="58"/>
    <s v="David"/>
    <s v="Williams"/>
    <x v="4"/>
    <x v="1"/>
    <s v="Pending"/>
    <s v="11/07/2021"/>
    <n v="93620.88"/>
    <s v="david.williams@example.com"/>
    <n v="-54522800"/>
    <x v="2"/>
    <b v="0"/>
    <d v="2021-11-07T00:00:00"/>
    <x v="1"/>
    <x v="1"/>
    <x v="1"/>
    <m/>
  </r>
  <r>
    <n v="59"/>
    <x v="59"/>
    <s v="Bob"/>
    <s v="Jones"/>
    <x v="4"/>
    <x v="24"/>
    <s v="Pending"/>
    <s v="4/16/2022"/>
    <n v="72832.800000000003"/>
    <s v="bob.jones@example.com"/>
    <n v="-5619318373"/>
    <x v="1"/>
    <b v="1"/>
    <d v="2022-04-16T00:00:00"/>
    <x v="4"/>
    <x v="0"/>
    <x v="1"/>
    <m/>
  </r>
  <r>
    <n v="60"/>
    <x v="60"/>
    <s v="Charlie"/>
    <s v="Williams"/>
    <x v="3"/>
    <x v="15"/>
    <s v="Inactive"/>
    <s v="10/19/2023"/>
    <n v="102369.42"/>
    <s v="charlie.williams@example.com"/>
    <n v="-5508428909"/>
    <x v="0"/>
    <b v="1"/>
    <d v="2023-10-19T00:00:00"/>
    <x v="1"/>
    <x v="2"/>
    <x v="1"/>
    <m/>
  </r>
  <r>
    <n v="61"/>
    <x v="61"/>
    <s v="Eva"/>
    <s v="Davis"/>
    <x v="2"/>
    <x v="4"/>
    <s v="Inactive"/>
    <s v="08/10/2021"/>
    <n v="64712.79"/>
    <s v="eva.davis@example.com"/>
    <n v="-7711991807"/>
    <x v="1"/>
    <b v="1"/>
    <d v="2021-08-10T00:00:00"/>
    <x v="4"/>
    <x v="1"/>
    <x v="1"/>
    <m/>
  </r>
  <r>
    <n v="62"/>
    <x v="62"/>
    <s v="Frank"/>
    <s v="Jones"/>
    <x v="2"/>
    <x v="18"/>
    <s v="Pending"/>
    <s v="3/13/2021"/>
    <n v="85782.18"/>
    <s v="frank.jones@example.com"/>
    <n v="-1213524786"/>
    <x v="1"/>
    <b v="1"/>
    <d v="2021-03-13T00:00:00"/>
    <x v="1"/>
    <x v="3"/>
    <x v="1"/>
    <m/>
  </r>
  <r>
    <n v="63"/>
    <x v="63"/>
    <s v="Charlie"/>
    <s v="Smith"/>
    <x v="0"/>
    <x v="25"/>
    <s v="Pending"/>
    <s v="7/20/2023"/>
    <n v="93348.26"/>
    <s v="charlie.smith@example.com"/>
    <n v="-1255213759"/>
    <x v="3"/>
    <b v="0"/>
    <d v="2023-07-20T00:00:00"/>
    <x v="5"/>
    <x v="5"/>
    <x v="2"/>
    <m/>
  </r>
  <r>
    <n v="64"/>
    <x v="64"/>
    <s v="David"/>
    <s v="Davis"/>
    <x v="4"/>
    <x v="26"/>
    <s v="Active"/>
    <s v="2/20/2020"/>
    <n v="53234.96"/>
    <s v="david.davis@example.com"/>
    <n v="-3754821455"/>
    <x v="2"/>
    <b v="0"/>
    <d v="2020-02-20T00:00:00"/>
    <x v="2"/>
    <x v="4"/>
    <x v="1"/>
    <m/>
  </r>
  <r>
    <n v="65"/>
    <x v="65"/>
    <s v="Bob"/>
    <s v="Johnson"/>
    <x v="2"/>
    <x v="15"/>
    <s v="Pending"/>
    <s v="02/02/2021"/>
    <n v="100284.21"/>
    <s v="bob.johnson@example.com"/>
    <n v="-5328632665"/>
    <x v="1"/>
    <b v="0"/>
    <d v="2021-02-02T00:00:00"/>
    <x v="1"/>
    <x v="2"/>
    <x v="1"/>
    <m/>
  </r>
  <r>
    <n v="66"/>
    <x v="66"/>
    <s v="Grace"/>
    <s v="Brown"/>
    <x v="3"/>
    <x v="2"/>
    <s v="Pending"/>
    <s v="01/12/2020"/>
    <n v="112486.19"/>
    <s v="grace.brown@example.com"/>
    <n v="-7850720810"/>
    <x v="1"/>
    <b v="1"/>
    <d v="2020-01-12T00:00:00"/>
    <x v="2"/>
    <x v="2"/>
    <x v="2"/>
    <m/>
  </r>
  <r>
    <n v="67"/>
    <x v="67"/>
    <s v="Bob"/>
    <s v="Smith"/>
    <x v="2"/>
    <x v="26"/>
    <s v="Pending"/>
    <s v="11/26/2022"/>
    <n v="82518.490000000005"/>
    <s v="bob.smith@example.com"/>
    <n v="-5562606028"/>
    <x v="3"/>
    <b v="1"/>
    <d v="2022-11-26T00:00:00"/>
    <x v="2"/>
    <x v="4"/>
    <x v="2"/>
    <m/>
  </r>
  <r>
    <n v="68"/>
    <x v="68"/>
    <s v="Bob"/>
    <s v="Brown"/>
    <x v="2"/>
    <x v="27"/>
    <s v="Pending"/>
    <s v="12/23/2022"/>
    <n v="119152.47"/>
    <s v="bob.brown@example.com"/>
    <n v="-846684549"/>
    <x v="3"/>
    <b v="1"/>
    <d v="2022-12-23T00:00:00"/>
    <x v="2"/>
    <x v="3"/>
    <x v="2"/>
    <m/>
  </r>
  <r>
    <n v="69"/>
    <x v="69"/>
    <s v="Heidi"/>
    <s v="Miller"/>
    <x v="1"/>
    <x v="10"/>
    <s v="Inactive"/>
    <s v="8/28/2024"/>
    <n v="113479.83"/>
    <s v="heidi.miller@example.com"/>
    <n v="-4892673898"/>
    <x v="2"/>
    <b v="0"/>
    <d v="2024-08-28T00:00:00"/>
    <x v="0"/>
    <x v="5"/>
    <x v="1"/>
    <m/>
  </r>
  <r>
    <n v="70"/>
    <x v="70"/>
    <s v="Charlie"/>
    <s v="Johnson"/>
    <x v="2"/>
    <x v="8"/>
    <s v="Active"/>
    <s v="9/16/2024"/>
    <n v="94636.3"/>
    <s v="charlie.johnson@example.com"/>
    <n v="-7563410855"/>
    <x v="3"/>
    <b v="0"/>
    <d v="2024-09-16T00:00:00"/>
    <x v="1"/>
    <x v="0"/>
    <x v="1"/>
    <m/>
  </r>
  <r>
    <n v="71"/>
    <x v="71"/>
    <s v="Heidi"/>
    <s v="Johnson"/>
    <x v="3"/>
    <x v="28"/>
    <s v="Active"/>
    <s v="01/01/2024"/>
    <n v="70000.97"/>
    <s v="heidi.johnson@example.com"/>
    <n v="-2884318847"/>
    <x v="0"/>
    <b v="1"/>
    <d v="2024-01-01T00:00:00"/>
    <x v="5"/>
    <x v="3"/>
    <x v="1"/>
    <m/>
  </r>
  <r>
    <n v="72"/>
    <x v="72"/>
    <s v="Frank"/>
    <s v="Smith"/>
    <x v="1"/>
    <x v="6"/>
    <s v="Active"/>
    <s v="4/18/2021"/>
    <n v="76812.47"/>
    <s v="frank.smith@example.com"/>
    <n v="-5200894345"/>
    <x v="3"/>
    <b v="0"/>
    <d v="2021-04-18T00:00:00"/>
    <x v="3"/>
    <x v="4"/>
    <x v="0"/>
    <m/>
  </r>
  <r>
    <n v="73"/>
    <x v="73"/>
    <s v="David"/>
    <s v="Johnson"/>
    <x v="0"/>
    <x v="18"/>
    <s v="Inactive"/>
    <s v="1/16/2023"/>
    <n v="82614.7"/>
    <s v="david.johnson@example.com"/>
    <n v="-8105485100"/>
    <x v="0"/>
    <b v="1"/>
    <d v="2023-01-16T00:00:00"/>
    <x v="1"/>
    <x v="3"/>
    <x v="1"/>
    <m/>
  </r>
  <r>
    <n v="74"/>
    <x v="74"/>
    <s v="Grace"/>
    <s v="Jones"/>
    <x v="2"/>
    <x v="29"/>
    <s v="Active"/>
    <s v="10/20/2024"/>
    <n v="111645.97"/>
    <s v="grace.jones@example.com"/>
    <n v="-7490753997"/>
    <x v="2"/>
    <b v="1"/>
    <d v="2024-10-20T00:00:00"/>
    <x v="4"/>
    <x v="2"/>
    <x v="2"/>
    <m/>
  </r>
  <r>
    <n v="75"/>
    <x v="75"/>
    <s v="Heidi"/>
    <s v="Johnson"/>
    <x v="0"/>
    <x v="21"/>
    <s v="Inactive"/>
    <s v="10/13/2024"/>
    <n v="112414.91"/>
    <s v="heidi.johnson@example.com"/>
    <n v="-9354492682"/>
    <x v="2"/>
    <b v="0"/>
    <d v="2024-10-13T00:00:00"/>
    <x v="5"/>
    <x v="0"/>
    <x v="2"/>
    <m/>
  </r>
  <r>
    <n v="76"/>
    <x v="76"/>
    <s v="David"/>
    <s v="Brown"/>
    <x v="2"/>
    <x v="19"/>
    <s v="Inactive"/>
    <s v="9/21/2022"/>
    <n v="52031.74"/>
    <s v="david.brown@example.com"/>
    <n v="-1589357125"/>
    <x v="2"/>
    <b v="1"/>
    <d v="2022-09-21T00:00:00"/>
    <x v="2"/>
    <x v="0"/>
    <x v="1"/>
    <m/>
  </r>
  <r>
    <n v="77"/>
    <x v="77"/>
    <s v="Grace"/>
    <s v="Brown"/>
    <x v="3"/>
    <x v="30"/>
    <s v="Pending"/>
    <s v="12/29/2022"/>
    <n v="51887.65"/>
    <s v="grace.brown@example.com"/>
    <n v="-6110627370"/>
    <x v="2"/>
    <b v="0"/>
    <d v="2022-12-29T00:00:00"/>
    <x v="1"/>
    <x v="4"/>
    <x v="0"/>
    <m/>
  </r>
  <r>
    <n v="78"/>
    <x v="78"/>
    <s v="Alice"/>
    <s v="Davis"/>
    <x v="0"/>
    <x v="31"/>
    <s v="Active"/>
    <s v="11/10/2024"/>
    <n v="82318.89"/>
    <s v="alice.davis@example.com"/>
    <n v="-5869886496"/>
    <x v="2"/>
    <b v="1"/>
    <d v="2024-11-10T00:00:00"/>
    <x v="0"/>
    <x v="3"/>
    <x v="0"/>
    <m/>
  </r>
  <r>
    <n v="79"/>
    <x v="79"/>
    <s v="Grace"/>
    <s v="Brown"/>
    <x v="4"/>
    <x v="27"/>
    <s v="Inactive"/>
    <s v="11/22/2021"/>
    <n v="103286.08"/>
    <s v="grace.brown@example.com"/>
    <n v="-6776228276"/>
    <x v="0"/>
    <b v="0"/>
    <d v="2021-11-22T00:00:00"/>
    <x v="2"/>
    <x v="3"/>
    <x v="2"/>
    <m/>
  </r>
  <r>
    <n v="80"/>
    <x v="80"/>
    <s v="Grace"/>
    <s v="Davis"/>
    <x v="4"/>
    <x v="3"/>
    <s v="Active"/>
    <s v="3/14/2024"/>
    <n v="87759.33"/>
    <s v="grace.davis@example.com"/>
    <n v="-2881377027"/>
    <x v="0"/>
    <b v="0"/>
    <d v="2024-03-14T00:00:00"/>
    <x v="3"/>
    <x v="3"/>
    <x v="1"/>
    <m/>
  </r>
  <r>
    <n v="81"/>
    <x v="81"/>
    <s v="Frank"/>
    <s v="Brown"/>
    <x v="3"/>
    <x v="32"/>
    <s v="Pending"/>
    <s v="3/23/2020"/>
    <n v="102796.32"/>
    <s v="frank.brown@example.com"/>
    <n v="-5196115939"/>
    <x v="2"/>
    <b v="0"/>
    <d v="2020-03-23T00:00:00"/>
    <x v="0"/>
    <x v="1"/>
    <x v="1"/>
    <m/>
  </r>
  <r>
    <n v="82"/>
    <x v="82"/>
    <s v="David"/>
    <s v="Jones"/>
    <x v="0"/>
    <x v="17"/>
    <s v="Active"/>
    <s v="9/15/2020"/>
    <n v="83149.27"/>
    <s v="david.jones@example.com"/>
    <n v="-8215454469"/>
    <x v="3"/>
    <b v="1"/>
    <d v="2020-09-15T00:00:00"/>
    <x v="4"/>
    <x v="4"/>
    <x v="1"/>
    <m/>
  </r>
  <r>
    <n v="83"/>
    <x v="83"/>
    <s v="David"/>
    <s v="Garcia"/>
    <x v="2"/>
    <x v="0"/>
    <s v="Inactive"/>
    <s v="12/09/2020"/>
    <n v="92412.49"/>
    <s v="david.garcia@example.com"/>
    <n v="-2296044326"/>
    <x v="1"/>
    <b v="1"/>
    <d v="2020-12-09T00:00:00"/>
    <x v="0"/>
    <x v="0"/>
    <x v="1"/>
    <m/>
  </r>
  <r>
    <n v="84"/>
    <x v="84"/>
    <s v="Bob"/>
    <s v="Davis"/>
    <x v="3"/>
    <x v="20"/>
    <s v="Pending"/>
    <s v="2/22/2020"/>
    <n v="115022.1"/>
    <s v="bob.davis@example.com"/>
    <n v="-185106793"/>
    <x v="2"/>
    <b v="0"/>
    <d v="2020-02-22T00:00:00"/>
    <x v="5"/>
    <x v="1"/>
    <x v="2"/>
    <m/>
  </r>
  <r>
    <n v="85"/>
    <x v="85"/>
    <s v="Grace"/>
    <s v="Williams"/>
    <x v="2"/>
    <x v="5"/>
    <s v="Active"/>
    <s v="4/27/2023"/>
    <n v="98343.01"/>
    <s v="grace.williams@example.com"/>
    <n v="-9756792286"/>
    <x v="3"/>
    <b v="0"/>
    <d v="2023-04-27T00:00:00"/>
    <x v="0"/>
    <x v="4"/>
    <x v="1"/>
    <m/>
  </r>
  <r>
    <n v="86"/>
    <x v="86"/>
    <s v="Bob"/>
    <s v="Miller"/>
    <x v="4"/>
    <x v="10"/>
    <s v="Active"/>
    <s v="6/18/2024"/>
    <n v="118869.1"/>
    <s v="bob.miller@example.com"/>
    <n v="-7725199662"/>
    <x v="1"/>
    <b v="1"/>
    <d v="2024-06-18T00:00:00"/>
    <x v="0"/>
    <x v="5"/>
    <x v="1"/>
    <m/>
  </r>
  <r>
    <n v="87"/>
    <x v="87"/>
    <s v="Frank"/>
    <s v="Smith"/>
    <x v="1"/>
    <x v="15"/>
    <s v="Inactive"/>
    <s v="5/21/2020"/>
    <n v="85417.26"/>
    <s v="frank.smith@example.com"/>
    <n v="-6580741208"/>
    <x v="2"/>
    <b v="1"/>
    <d v="2020-05-21T00:00:00"/>
    <x v="1"/>
    <x v="2"/>
    <x v="1"/>
    <m/>
  </r>
  <r>
    <n v="88"/>
    <x v="88"/>
    <s v="Grace"/>
    <s v="Brown"/>
    <x v="2"/>
    <x v="3"/>
    <s v="Inactive"/>
    <s v="7/25/2023"/>
    <n v="112410.25"/>
    <s v="grace.brown@example.com"/>
    <n v="-4818139889"/>
    <x v="2"/>
    <b v="1"/>
    <d v="2023-07-25T00:00:00"/>
    <x v="3"/>
    <x v="3"/>
    <x v="1"/>
    <m/>
  </r>
  <r>
    <n v="89"/>
    <x v="89"/>
    <s v="Charlie"/>
    <s v="Johnson"/>
    <x v="2"/>
    <x v="2"/>
    <s v="Pending"/>
    <s v="8/25/2023"/>
    <n v="68905.77"/>
    <s v="charlie.johnson@example.com"/>
    <n v="-9837801819"/>
    <x v="0"/>
    <b v="0"/>
    <d v="2023-08-25T00:00:00"/>
    <x v="2"/>
    <x v="2"/>
    <x v="1"/>
    <m/>
  </r>
  <r>
    <n v="90"/>
    <x v="90"/>
    <s v="Heidi"/>
    <s v="Garcia"/>
    <x v="2"/>
    <x v="15"/>
    <s v="Pending"/>
    <s v="07/03/2021"/>
    <n v="72561.320000000007"/>
    <s v="heidi.garcia@example.com"/>
    <n v="-4339718955"/>
    <x v="1"/>
    <b v="1"/>
    <d v="2021-07-03T00:00:00"/>
    <x v="1"/>
    <x v="2"/>
    <x v="1"/>
    <m/>
  </r>
  <r>
    <n v="91"/>
    <x v="91"/>
    <s v="Bob"/>
    <s v="Brown"/>
    <x v="4"/>
    <x v="30"/>
    <s v="Inactive"/>
    <s v="3/13/2023"/>
    <n v="92723.22"/>
    <s v="bob.brown@example.com"/>
    <n v="-9070562607"/>
    <x v="1"/>
    <b v="1"/>
    <d v="2023-03-13T00:00:00"/>
    <x v="1"/>
    <x v="4"/>
    <x v="1"/>
    <m/>
  </r>
  <r>
    <n v="92"/>
    <x v="92"/>
    <s v="Alice"/>
    <s v="Johnson"/>
    <x v="2"/>
    <x v="7"/>
    <s v="Inactive"/>
    <s v="03/10/2021"/>
    <n v="74837.75"/>
    <s v="alice.johnson@example.com"/>
    <n v="-5641118241"/>
    <x v="3"/>
    <b v="0"/>
    <d v="2021-03-10T00:00:00"/>
    <x v="5"/>
    <x v="4"/>
    <x v="1"/>
    <m/>
  </r>
  <r>
    <n v="93"/>
    <x v="93"/>
    <s v="Eva"/>
    <s v="Miller"/>
    <x v="1"/>
    <x v="0"/>
    <s v="Pending"/>
    <s v="1/21/2020"/>
    <n v="86163.91"/>
    <s v="eva.miller@example.com"/>
    <n v="-2412462094"/>
    <x v="0"/>
    <b v="1"/>
    <d v="2020-01-21T00:00:00"/>
    <x v="0"/>
    <x v="0"/>
    <x v="1"/>
    <m/>
  </r>
  <r>
    <n v="94"/>
    <x v="94"/>
    <s v="David"/>
    <s v="Miller"/>
    <x v="2"/>
    <x v="33"/>
    <s v="Active"/>
    <s v="11/15/2023"/>
    <n v="83326.52"/>
    <s v="david.miller@example.com"/>
    <n v="-2004615264"/>
    <x v="0"/>
    <b v="1"/>
    <d v="2023-11-15T00:00:00"/>
    <x v="1"/>
    <x v="5"/>
    <x v="1"/>
    <m/>
  </r>
  <r>
    <n v="95"/>
    <x v="95"/>
    <s v="Heidi"/>
    <s v="Miller"/>
    <x v="0"/>
    <x v="34"/>
    <s v="Active"/>
    <s v="04/08/2022"/>
    <n v="98425.1"/>
    <s v="heidi.miller@example.com"/>
    <n v="-4610339936"/>
    <x v="0"/>
    <b v="1"/>
    <d v="2022-04-08T00:00:00"/>
    <x v="3"/>
    <x v="0"/>
    <x v="1"/>
    <m/>
  </r>
  <r>
    <n v="96"/>
    <x v="96"/>
    <s v="Frank"/>
    <s v="Johnson"/>
    <x v="2"/>
    <x v="14"/>
    <s v="Inactive"/>
    <s v="5/21/2022"/>
    <n v="119764.2"/>
    <s v="frank.johnson@example.com"/>
    <n v="-8861405785"/>
    <x v="0"/>
    <b v="0"/>
    <d v="2022-05-21T00:00:00"/>
    <x v="4"/>
    <x v="5"/>
    <x v="2"/>
    <m/>
  </r>
  <r>
    <n v="97"/>
    <x v="97"/>
    <s v="Frank"/>
    <s v="Brown"/>
    <x v="2"/>
    <x v="21"/>
    <s v="Inactive"/>
    <s v="4/17/2021"/>
    <n v="58445.91"/>
    <s v="frank.brown@example.com"/>
    <n v="-1706304890"/>
    <x v="1"/>
    <b v="0"/>
    <d v="2021-04-17T00:00:00"/>
    <x v="5"/>
    <x v="0"/>
    <x v="1"/>
    <m/>
  </r>
  <r>
    <n v="98"/>
    <x v="98"/>
    <s v="Bob"/>
    <s v="Miller"/>
    <x v="1"/>
    <x v="5"/>
    <s v="Active"/>
    <s v="3/19/2021"/>
    <n v="101702.33"/>
    <s v="bob.miller@example.com"/>
    <n v="-3824967182"/>
    <x v="1"/>
    <b v="0"/>
    <d v="2021-03-19T00:00:00"/>
    <x v="0"/>
    <x v="4"/>
    <x v="1"/>
    <m/>
  </r>
  <r>
    <n v="99"/>
    <x v="99"/>
    <s v="Eva"/>
    <s v="Jones"/>
    <x v="0"/>
    <x v="19"/>
    <s v="Active"/>
    <s v="01/09/2022"/>
    <n v="85165.05"/>
    <s v="eva.jones@example.com"/>
    <n v="-2582386869"/>
    <x v="2"/>
    <b v="0"/>
    <d v="2022-01-09T00:00:00"/>
    <x v="2"/>
    <x v="0"/>
    <x v="2"/>
    <m/>
  </r>
  <r>
    <n v="100"/>
    <x v="100"/>
    <s v="Charlie"/>
    <s v="Davis"/>
    <x v="4"/>
    <x v="23"/>
    <s v="Pending"/>
    <s v="8/21/2021"/>
    <n v="98819.22"/>
    <s v="charlie.davis@example.com"/>
    <n v="-794200748"/>
    <x v="2"/>
    <b v="0"/>
    <d v="2021-08-21T00:00:00"/>
    <x v="3"/>
    <x v="1"/>
    <x v="1"/>
    <m/>
  </r>
  <r>
    <n v="101"/>
    <x v="101"/>
    <s v="Heidi"/>
    <s v="Johnson"/>
    <x v="0"/>
    <x v="13"/>
    <s v="Inactive"/>
    <s v="8/19/2022"/>
    <n v="83509.990000000005"/>
    <s v="heidi.johnson@example.com"/>
    <n v="-4653984027"/>
    <x v="0"/>
    <b v="0"/>
    <d v="2022-08-19T00:00:00"/>
    <x v="3"/>
    <x v="5"/>
    <x v="1"/>
    <m/>
  </r>
  <r>
    <n v="102"/>
    <x v="102"/>
    <s v="Alice"/>
    <s v="Johnson"/>
    <x v="4"/>
    <x v="1"/>
    <s v="Active"/>
    <s v="3/31/2022"/>
    <n v="84422.26"/>
    <s v="alice.johnson@example.com"/>
    <n v="-9141612845"/>
    <x v="0"/>
    <b v="0"/>
    <d v="2022-03-31T00:00:00"/>
    <x v="1"/>
    <x v="1"/>
    <x v="1"/>
    <m/>
  </r>
  <r>
    <n v="103"/>
    <x v="103"/>
    <s v="Alice"/>
    <s v="Brown"/>
    <x v="3"/>
    <x v="12"/>
    <s v="Inactive"/>
    <s v="6/23/2020"/>
    <n v="119574.27"/>
    <s v="alice.brown@example.com"/>
    <n v="-3985547434"/>
    <x v="0"/>
    <b v="1"/>
    <d v="2020-06-23T00:00:00"/>
    <x v="2"/>
    <x v="5"/>
    <x v="2"/>
    <m/>
  </r>
  <r>
    <n v="104"/>
    <x v="104"/>
    <s v="Grace"/>
    <s v="Johnson"/>
    <x v="1"/>
    <x v="14"/>
    <s v="Active"/>
    <s v="05/07/2024"/>
    <n v="86580.08"/>
    <s v="grace.johnson@example.com"/>
    <n v="-5379502096"/>
    <x v="2"/>
    <b v="1"/>
    <d v="2024-05-07T00:00:00"/>
    <x v="4"/>
    <x v="5"/>
    <x v="1"/>
    <m/>
  </r>
  <r>
    <n v="105"/>
    <x v="105"/>
    <s v="Heidi"/>
    <s v="Johnson"/>
    <x v="4"/>
    <x v="9"/>
    <s v="Inactive"/>
    <s v="03/10/2023"/>
    <n v="93471.91"/>
    <s v="heidi.johnson@example.com"/>
    <n v="-26876810"/>
    <x v="3"/>
    <b v="0"/>
    <d v="2023-03-10T00:00:00"/>
    <x v="4"/>
    <x v="3"/>
    <x v="1"/>
    <m/>
  </r>
  <r>
    <n v="106"/>
    <x v="106"/>
    <s v="Bob"/>
    <s v="Miller"/>
    <x v="3"/>
    <x v="5"/>
    <s v="Inactive"/>
    <s v="9/14/2023"/>
    <n v="55683.12"/>
    <s v="bob.miller@example.com"/>
    <n v="-8071569561"/>
    <x v="3"/>
    <b v="1"/>
    <d v="2023-09-14T00:00:00"/>
    <x v="0"/>
    <x v="4"/>
    <x v="0"/>
    <m/>
  </r>
  <r>
    <n v="107"/>
    <x v="107"/>
    <s v="Bob"/>
    <s v="Brown"/>
    <x v="3"/>
    <x v="3"/>
    <s v="Inactive"/>
    <s v="11/12/2023"/>
    <n v="91566.78"/>
    <s v="bob.brown@example.com"/>
    <n v="-175370303"/>
    <x v="2"/>
    <b v="1"/>
    <d v="2023-11-12T00:00:00"/>
    <x v="3"/>
    <x v="3"/>
    <x v="1"/>
    <m/>
  </r>
  <r>
    <n v="108"/>
    <x v="108"/>
    <s v="David"/>
    <s v="Miller"/>
    <x v="4"/>
    <x v="0"/>
    <s v="Pending"/>
    <s v="10/26/2024"/>
    <n v="81782.19"/>
    <s v="david.miller@example.com"/>
    <n v="-5319433749"/>
    <x v="2"/>
    <b v="0"/>
    <d v="2024-10-26T00:00:00"/>
    <x v="0"/>
    <x v="0"/>
    <x v="0"/>
    <m/>
  </r>
  <r>
    <n v="109"/>
    <x v="109"/>
    <s v="Eva"/>
    <s v="Davis"/>
    <x v="1"/>
    <x v="5"/>
    <s v="Inactive"/>
    <s v="8/23/2020"/>
    <n v="88119.37"/>
    <s v="eva.davis@example.com"/>
    <n v="-4793036148"/>
    <x v="2"/>
    <b v="1"/>
    <d v="2020-08-23T00:00:00"/>
    <x v="0"/>
    <x v="4"/>
    <x v="1"/>
    <m/>
  </r>
  <r>
    <n v="110"/>
    <x v="110"/>
    <s v="Eva"/>
    <s v="Garcia"/>
    <x v="3"/>
    <x v="23"/>
    <s v="Active"/>
    <s v="06/11/2024"/>
    <n v="71532.83"/>
    <s v="eva.garcia@example.com"/>
    <n v="-8728399920"/>
    <x v="2"/>
    <b v="1"/>
    <d v="2024-06-11T00:00:00"/>
    <x v="3"/>
    <x v="1"/>
    <x v="0"/>
    <m/>
  </r>
  <r>
    <n v="111"/>
    <x v="111"/>
    <s v="Eva"/>
    <s v="Davis"/>
    <x v="2"/>
    <x v="3"/>
    <s v="Pending"/>
    <s v="9/14/2021"/>
    <n v="98981.36"/>
    <s v="eva.davis@example.com"/>
    <n v="-9212493842"/>
    <x v="2"/>
    <b v="1"/>
    <d v="2021-09-14T00:00:00"/>
    <x v="3"/>
    <x v="3"/>
    <x v="1"/>
    <m/>
  </r>
  <r>
    <n v="112"/>
    <x v="112"/>
    <s v="Heidi"/>
    <s v="Garcia"/>
    <x v="2"/>
    <x v="13"/>
    <s v="Active"/>
    <s v="12/26/2024"/>
    <n v="80242.009999999995"/>
    <s v="heidi.garcia@example.com"/>
    <n v="-894870604"/>
    <x v="2"/>
    <b v="1"/>
    <d v="2024-12-26T00:00:00"/>
    <x v="3"/>
    <x v="5"/>
    <x v="1"/>
    <m/>
  </r>
  <r>
    <n v="113"/>
    <x v="113"/>
    <s v="Eva"/>
    <s v="Miller"/>
    <x v="0"/>
    <x v="6"/>
    <s v="Pending"/>
    <s v="09/08/2024"/>
    <n v="110236.18"/>
    <s v="eva.miller@example.com"/>
    <n v="-6641877579"/>
    <x v="0"/>
    <b v="1"/>
    <d v="2024-09-08T00:00:00"/>
    <x v="3"/>
    <x v="4"/>
    <x v="1"/>
    <m/>
  </r>
  <r>
    <n v="114"/>
    <x v="114"/>
    <s v="Alice"/>
    <s v="Davis"/>
    <x v="4"/>
    <x v="4"/>
    <s v="Active"/>
    <s v="8/21/2022"/>
    <n v="86327.47"/>
    <s v="alice.davis@example.com"/>
    <n v="-3046875062"/>
    <x v="0"/>
    <b v="0"/>
    <d v="2022-08-21T00:00:00"/>
    <x v="4"/>
    <x v="1"/>
    <x v="1"/>
    <m/>
  </r>
  <r>
    <n v="115"/>
    <x v="115"/>
    <s v="Eva"/>
    <s v="Brown"/>
    <x v="3"/>
    <x v="9"/>
    <s v="Pending"/>
    <s v="7/25/2024"/>
    <n v="84420.81"/>
    <s v="eva.brown@example.com"/>
    <n v="-5190361331"/>
    <x v="0"/>
    <b v="0"/>
    <d v="2024-07-25T00:00:00"/>
    <x v="4"/>
    <x v="3"/>
    <x v="1"/>
    <m/>
  </r>
  <r>
    <n v="116"/>
    <x v="116"/>
    <s v="Frank"/>
    <s v="Smith"/>
    <x v="2"/>
    <x v="21"/>
    <s v="Pending"/>
    <s v="08/02/2020"/>
    <n v="110041.32"/>
    <s v="frank.smith@example.com"/>
    <n v="-5411076094"/>
    <x v="0"/>
    <b v="0"/>
    <d v="2020-08-02T00:00:00"/>
    <x v="5"/>
    <x v="0"/>
    <x v="2"/>
    <m/>
  </r>
  <r>
    <n v="117"/>
    <x v="117"/>
    <s v="Heidi"/>
    <s v="Miller"/>
    <x v="4"/>
    <x v="31"/>
    <s v="Pending"/>
    <s v="3/16/2020"/>
    <n v="81837.81"/>
    <s v="heidi.miller@example.com"/>
    <n v="-4317350582"/>
    <x v="2"/>
    <b v="1"/>
    <d v="2020-03-16T00:00:00"/>
    <x v="0"/>
    <x v="3"/>
    <x v="0"/>
    <m/>
  </r>
  <r>
    <n v="118"/>
    <x v="118"/>
    <s v="Frank"/>
    <s v="Garcia"/>
    <x v="0"/>
    <x v="33"/>
    <s v="Active"/>
    <s v="09/08/2023"/>
    <n v="110855.72"/>
    <s v="frank.garcia@example.com"/>
    <n v="-1997179109"/>
    <x v="3"/>
    <b v="0"/>
    <d v="2023-09-08T00:00:00"/>
    <x v="1"/>
    <x v="5"/>
    <x v="2"/>
    <m/>
  </r>
  <r>
    <n v="119"/>
    <x v="119"/>
    <s v="Alice"/>
    <s v="Jones"/>
    <x v="3"/>
    <x v="24"/>
    <s v="Pending"/>
    <s v="3/29/2024"/>
    <n v="84894.52"/>
    <s v="alice.jones@example.com"/>
    <n v="-651207048"/>
    <x v="1"/>
    <b v="1"/>
    <d v="2024-03-29T00:00:00"/>
    <x v="4"/>
    <x v="0"/>
    <x v="1"/>
    <m/>
  </r>
  <r>
    <n v="120"/>
    <x v="120"/>
    <s v="Alice"/>
    <s v="Garcia"/>
    <x v="3"/>
    <x v="25"/>
    <s v="Active"/>
    <s v="08/12/2021"/>
    <n v="80668.13"/>
    <s v="alice.garcia@example.com"/>
    <n v="-6110804660"/>
    <x v="2"/>
    <b v="1"/>
    <d v="2021-08-12T00:00:00"/>
    <x v="5"/>
    <x v="5"/>
    <x v="1"/>
    <m/>
  </r>
  <r>
    <n v="121"/>
    <x v="121"/>
    <s v="Bob"/>
    <s v="Jones"/>
    <x v="0"/>
    <x v="10"/>
    <s v="Active"/>
    <s v="12/24/2023"/>
    <n v="61086.47"/>
    <s v="bob.jones@example.com"/>
    <n v="-9639907675"/>
    <x v="1"/>
    <b v="1"/>
    <d v="2023-12-24T00:00:00"/>
    <x v="0"/>
    <x v="5"/>
    <x v="0"/>
    <m/>
  </r>
  <r>
    <n v="122"/>
    <x v="122"/>
    <s v="Grace"/>
    <s v="Johnson"/>
    <x v="0"/>
    <x v="16"/>
    <s v="Inactive"/>
    <s v="8/28/2020"/>
    <n v="95339.68"/>
    <s v="grace.johnson@example.com"/>
    <n v="-9915078592"/>
    <x v="3"/>
    <b v="1"/>
    <d v="2020-08-28T00:00:00"/>
    <x v="2"/>
    <x v="1"/>
    <x v="2"/>
    <m/>
  </r>
  <r>
    <n v="123"/>
    <x v="123"/>
    <s v="Eva"/>
    <s v="Davis"/>
    <x v="1"/>
    <x v="0"/>
    <s v="Inactive"/>
    <s v="09/05/2024"/>
    <n v="83774.97"/>
    <s v="eva.davis@example.com"/>
    <n v="-1109193927"/>
    <x v="0"/>
    <b v="0"/>
    <d v="2024-09-05T00:00:00"/>
    <x v="0"/>
    <x v="0"/>
    <x v="0"/>
    <m/>
  </r>
  <r>
    <n v="124"/>
    <x v="124"/>
    <s v="Heidi"/>
    <s v="Jones"/>
    <x v="1"/>
    <x v="27"/>
    <s v="Active"/>
    <s v="05/12/2023"/>
    <n v="85576.86"/>
    <s v="heidi.jones@example.com"/>
    <n v="-4567972319"/>
    <x v="3"/>
    <b v="0"/>
    <d v="2023-05-12T00:00:00"/>
    <x v="2"/>
    <x v="3"/>
    <x v="2"/>
    <m/>
  </r>
  <r>
    <n v="125"/>
    <x v="125"/>
    <s v="Bob"/>
    <s v="Garcia"/>
    <x v="4"/>
    <x v="8"/>
    <s v="Pending"/>
    <s v="07/01/2021"/>
    <n v="107438.46"/>
    <s v="bob.garcia@example.com"/>
    <n v="-249685497"/>
    <x v="2"/>
    <b v="1"/>
    <d v="2021-07-01T00:00:00"/>
    <x v="1"/>
    <x v="0"/>
    <x v="2"/>
    <m/>
  </r>
  <r>
    <n v="126"/>
    <x v="126"/>
    <s v="Eva"/>
    <s v="Johnson"/>
    <x v="1"/>
    <x v="29"/>
    <s v="Inactive"/>
    <s v="11/07/2024"/>
    <n v="60401.68"/>
    <s v="eva.johnson@example.com"/>
    <n v="-2274954507"/>
    <x v="0"/>
    <b v="0"/>
    <d v="2024-11-07T00:00:00"/>
    <x v="4"/>
    <x v="2"/>
    <x v="1"/>
    <m/>
  </r>
  <r>
    <n v="127"/>
    <x v="127"/>
    <s v="Frank"/>
    <s v="Smith"/>
    <x v="4"/>
    <x v="14"/>
    <s v="Inactive"/>
    <s v="7/21/2022"/>
    <n v="115299.66"/>
    <s v="frank.smith@example.com"/>
    <n v="-9203880652"/>
    <x v="2"/>
    <b v="1"/>
    <d v="2022-07-21T00:00:00"/>
    <x v="4"/>
    <x v="5"/>
    <x v="2"/>
    <m/>
  </r>
  <r>
    <n v="128"/>
    <x v="128"/>
    <s v="David"/>
    <s v="Brown"/>
    <x v="1"/>
    <x v="30"/>
    <s v="Inactive"/>
    <s v="3/30/2020"/>
    <n v="72272.34"/>
    <s v="david.brown@example.com"/>
    <n v="-3315377958"/>
    <x v="0"/>
    <b v="0"/>
    <d v="2020-03-30T00:00:00"/>
    <x v="1"/>
    <x v="4"/>
    <x v="1"/>
    <m/>
  </r>
  <r>
    <n v="129"/>
    <x v="129"/>
    <s v="Grace"/>
    <s v="Brown"/>
    <x v="2"/>
    <x v="35"/>
    <s v="Active"/>
    <s v="10/11/2022"/>
    <n v="117537.71"/>
    <s v="grace.brown@example.com"/>
    <n v="-9594652169"/>
    <x v="1"/>
    <b v="0"/>
    <d v="2022-10-11T00:00:00"/>
    <x v="0"/>
    <x v="2"/>
    <x v="1"/>
    <m/>
  </r>
  <r>
    <n v="130"/>
    <x v="130"/>
    <s v="Frank"/>
    <s v="Brown"/>
    <x v="0"/>
    <x v="1"/>
    <s v="Pending"/>
    <s v="7/24/2022"/>
    <n v="51074.33"/>
    <s v="frank.brown@example.com"/>
    <n v="-7303379336"/>
    <x v="1"/>
    <b v="1"/>
    <d v="2022-07-24T00:00:00"/>
    <x v="1"/>
    <x v="1"/>
    <x v="0"/>
    <m/>
  </r>
  <r>
    <n v="131"/>
    <x v="131"/>
    <s v="Charlie"/>
    <s v="Jones"/>
    <x v="0"/>
    <x v="8"/>
    <s v="Inactive"/>
    <s v="6/30/2023"/>
    <n v="98489.32"/>
    <s v="charlie.jones@example.com"/>
    <n v="-5636205014"/>
    <x v="1"/>
    <b v="0"/>
    <d v="2023-06-30T00:00:00"/>
    <x v="1"/>
    <x v="0"/>
    <x v="1"/>
    <m/>
  </r>
  <r>
    <n v="132"/>
    <x v="132"/>
    <s v="Frank"/>
    <s v="Smith"/>
    <x v="1"/>
    <x v="8"/>
    <s v="Pending"/>
    <s v="01/11/2024"/>
    <n v="112120.71"/>
    <s v="frank.smith@example.com"/>
    <n v="-812473949"/>
    <x v="3"/>
    <b v="1"/>
    <d v="2024-01-11T00:00:00"/>
    <x v="1"/>
    <x v="0"/>
    <x v="2"/>
    <m/>
  </r>
  <r>
    <n v="133"/>
    <x v="133"/>
    <s v="Alice"/>
    <s v="Jones"/>
    <x v="1"/>
    <x v="6"/>
    <s v="Pending"/>
    <s v="11/02/2023"/>
    <n v="114465.04"/>
    <s v="alice.jones@example.com"/>
    <n v="-334234257"/>
    <x v="2"/>
    <b v="0"/>
    <d v="2023-11-02T00:00:00"/>
    <x v="3"/>
    <x v="4"/>
    <x v="1"/>
    <m/>
  </r>
  <r>
    <n v="134"/>
    <x v="134"/>
    <s v="Bob"/>
    <s v="Davis"/>
    <x v="2"/>
    <x v="11"/>
    <s v="Pending"/>
    <s v="11/22/2024"/>
    <n v="57035.51"/>
    <s v="bob.davis@example.com"/>
    <n v="-3230241025"/>
    <x v="3"/>
    <b v="1"/>
    <d v="2024-11-22T00:00:00"/>
    <x v="3"/>
    <x v="2"/>
    <x v="0"/>
    <m/>
  </r>
  <r>
    <n v="135"/>
    <x v="135"/>
    <s v="Eva"/>
    <s v="Jones"/>
    <x v="0"/>
    <x v="34"/>
    <s v="Active"/>
    <s v="8/23/2021"/>
    <n v="75092.429999999993"/>
    <s v="eva.jones@example.com"/>
    <n v="-1534735527"/>
    <x v="1"/>
    <b v="1"/>
    <d v="2021-08-23T00:00:00"/>
    <x v="3"/>
    <x v="0"/>
    <x v="0"/>
    <m/>
  </r>
  <r>
    <n v="136"/>
    <x v="136"/>
    <s v="David"/>
    <s v="Smith"/>
    <x v="1"/>
    <x v="33"/>
    <s v="Pending"/>
    <s v="06/11/2024"/>
    <n v="62603.98"/>
    <s v="david.smith@example.com"/>
    <n v="-9611223385"/>
    <x v="2"/>
    <b v="0"/>
    <d v="2024-06-11T00:00:00"/>
    <x v="1"/>
    <x v="5"/>
    <x v="1"/>
    <m/>
  </r>
  <r>
    <n v="137"/>
    <x v="137"/>
    <s v="Grace"/>
    <s v="Smith"/>
    <x v="1"/>
    <x v="5"/>
    <s v="Inactive"/>
    <s v="04/09/2023"/>
    <n v="60018.239999999998"/>
    <s v="grace.smith@example.com"/>
    <n v="-5596309937"/>
    <x v="1"/>
    <b v="0"/>
    <d v="2023-04-09T00:00:00"/>
    <x v="0"/>
    <x v="4"/>
    <x v="0"/>
    <m/>
  </r>
  <r>
    <n v="138"/>
    <x v="138"/>
    <s v="Eva"/>
    <s v="Davis"/>
    <x v="2"/>
    <x v="22"/>
    <s v="Active"/>
    <s v="07/05/2024"/>
    <n v="82567.73"/>
    <s v="eva.davis@example.com"/>
    <n v="-4253042896"/>
    <x v="3"/>
    <b v="1"/>
    <d v="2024-07-05T00:00:00"/>
    <x v="5"/>
    <x v="2"/>
    <x v="1"/>
    <m/>
  </r>
  <r>
    <n v="139"/>
    <x v="139"/>
    <s v="Charlie"/>
    <s v="Smith"/>
    <x v="0"/>
    <x v="8"/>
    <s v="Pending"/>
    <s v="09/04/2021"/>
    <n v="94725.71"/>
    <s v="charlie.smith@example.com"/>
    <n v="-3179128684"/>
    <x v="3"/>
    <b v="0"/>
    <d v="2021-09-04T00:00:00"/>
    <x v="1"/>
    <x v="0"/>
    <x v="1"/>
    <m/>
  </r>
  <r>
    <n v="140"/>
    <x v="140"/>
    <s v="Eva"/>
    <s v="Garcia"/>
    <x v="2"/>
    <x v="7"/>
    <s v="Inactive"/>
    <s v="10/13/2024"/>
    <n v="83824.56"/>
    <s v="eva.garcia@example.com"/>
    <n v="-7872558776"/>
    <x v="3"/>
    <b v="0"/>
    <d v="2024-10-13T00:00:00"/>
    <x v="5"/>
    <x v="4"/>
    <x v="1"/>
    <m/>
  </r>
  <r>
    <n v="141"/>
    <x v="141"/>
    <s v="Frank"/>
    <s v="Smith"/>
    <x v="1"/>
    <x v="22"/>
    <s v="Inactive"/>
    <s v="2/14/2020"/>
    <n v="118456.11"/>
    <s v="frank.smith@example.com"/>
    <n v="-4969033372"/>
    <x v="1"/>
    <b v="1"/>
    <d v="2020-02-14T00:00:00"/>
    <x v="5"/>
    <x v="2"/>
    <x v="2"/>
    <m/>
  </r>
  <r>
    <n v="142"/>
    <x v="142"/>
    <s v="Eva"/>
    <s v="Brown"/>
    <x v="0"/>
    <x v="29"/>
    <s v="Pending"/>
    <s v="04/10/2020"/>
    <n v="113743.19"/>
    <s v="eva.brown@example.com"/>
    <n v="-6346692547"/>
    <x v="2"/>
    <b v="1"/>
    <d v="2020-04-10T00:00:00"/>
    <x v="4"/>
    <x v="2"/>
    <x v="2"/>
    <m/>
  </r>
  <r>
    <n v="143"/>
    <x v="143"/>
    <s v="Eva"/>
    <s v="Garcia"/>
    <x v="3"/>
    <x v="24"/>
    <s v="Active"/>
    <s v="7/27/2023"/>
    <n v="63309.24"/>
    <s v="eva.garcia@example.com"/>
    <n v="-1214785389"/>
    <x v="2"/>
    <b v="0"/>
    <d v="2023-07-27T00:00:00"/>
    <x v="4"/>
    <x v="0"/>
    <x v="1"/>
    <m/>
  </r>
  <r>
    <n v="144"/>
    <x v="144"/>
    <s v="Charlie"/>
    <s v="Garcia"/>
    <x v="0"/>
    <x v="35"/>
    <s v="Active"/>
    <s v="9/24/2021"/>
    <n v="105202.73"/>
    <s v="charlie.garcia@example.com"/>
    <n v="-7895677664"/>
    <x v="1"/>
    <b v="1"/>
    <d v="2021-09-24T00:00:00"/>
    <x v="0"/>
    <x v="2"/>
    <x v="1"/>
    <m/>
  </r>
  <r>
    <n v="145"/>
    <x v="145"/>
    <s v="Frank"/>
    <s v="Davis"/>
    <x v="3"/>
    <x v="34"/>
    <s v="Inactive"/>
    <s v="03/10/2024"/>
    <n v="79085.22"/>
    <s v="frank.davis@example.com"/>
    <n v="-7546027340"/>
    <x v="2"/>
    <b v="1"/>
    <d v="2024-03-10T00:00:00"/>
    <x v="3"/>
    <x v="0"/>
    <x v="0"/>
    <m/>
  </r>
  <r>
    <n v="146"/>
    <x v="146"/>
    <s v="Frank"/>
    <s v="Williams"/>
    <x v="1"/>
    <x v="24"/>
    <s v="Active"/>
    <s v="06/10/2021"/>
    <n v="113983.43"/>
    <s v="frank.williams@example.com"/>
    <n v="-5148881430"/>
    <x v="1"/>
    <b v="1"/>
    <d v="2021-06-10T00:00:00"/>
    <x v="4"/>
    <x v="0"/>
    <x v="2"/>
    <m/>
  </r>
  <r>
    <n v="147"/>
    <x v="147"/>
    <s v="Eva"/>
    <s v="Williams"/>
    <x v="4"/>
    <x v="3"/>
    <s v="Active"/>
    <s v="10/15/2020"/>
    <n v="102790.6"/>
    <s v="eva.williams@example.com"/>
    <n v="-1150835353"/>
    <x v="2"/>
    <b v="0"/>
    <d v="2020-10-15T00:00:00"/>
    <x v="3"/>
    <x v="3"/>
    <x v="1"/>
    <m/>
  </r>
  <r>
    <n v="148"/>
    <x v="148"/>
    <s v="Grace"/>
    <s v="Smith"/>
    <x v="1"/>
    <x v="20"/>
    <s v="Inactive"/>
    <s v="1/29/2020"/>
    <n v="68512.100000000006"/>
    <s v="grace.smith@example.com"/>
    <n v="-4439284043"/>
    <x v="0"/>
    <b v="0"/>
    <d v="2020-01-29T00:00:00"/>
    <x v="5"/>
    <x v="1"/>
    <x v="1"/>
    <m/>
  </r>
  <r>
    <n v="149"/>
    <x v="149"/>
    <s v="Frank"/>
    <s v="Garcia"/>
    <x v="4"/>
    <x v="9"/>
    <s v="Pending"/>
    <s v="1/30/2022"/>
    <n v="57584.23"/>
    <s v="frank.garcia@example.com"/>
    <n v="-5669078262"/>
    <x v="0"/>
    <b v="1"/>
    <d v="2022-01-30T00:00:00"/>
    <x v="4"/>
    <x v="3"/>
    <x v="1"/>
    <m/>
  </r>
  <r>
    <n v="150"/>
    <x v="150"/>
    <s v="Alice"/>
    <s v="Williams"/>
    <x v="1"/>
    <x v="24"/>
    <s v="Pending"/>
    <s v="3/29/2021"/>
    <n v="95335.67"/>
    <s v="alice.williams@example.com"/>
    <n v="-3373898774"/>
    <x v="3"/>
    <b v="0"/>
    <d v="2021-03-29T00:00:00"/>
    <x v="4"/>
    <x v="0"/>
    <x v="2"/>
    <m/>
  </r>
  <r>
    <n v="151"/>
    <x v="151"/>
    <s v="Heidi"/>
    <s v="Williams"/>
    <x v="4"/>
    <x v="31"/>
    <s v="Active"/>
    <s v="10/13/2020"/>
    <n v="53174.28"/>
    <s v="heidi.williams@example.com"/>
    <n v="-1536637779"/>
    <x v="0"/>
    <b v="1"/>
    <d v="2020-10-13T00:00:00"/>
    <x v="0"/>
    <x v="3"/>
    <x v="0"/>
    <m/>
  </r>
  <r>
    <n v="152"/>
    <x v="152"/>
    <s v="Heidi"/>
    <s v="Smith"/>
    <x v="0"/>
    <x v="6"/>
    <s v="Pending"/>
    <s v="10/04/2020"/>
    <n v="77205.210000000006"/>
    <s v="heidi.smith@example.com"/>
    <n v="-5292407552"/>
    <x v="0"/>
    <b v="0"/>
    <d v="2020-10-04T00:00:00"/>
    <x v="3"/>
    <x v="4"/>
    <x v="0"/>
    <m/>
  </r>
  <r>
    <n v="153"/>
    <x v="153"/>
    <s v="Grace"/>
    <s v="Williams"/>
    <x v="1"/>
    <x v="35"/>
    <s v="Active"/>
    <s v="12/18/2024"/>
    <n v="79041.919999999998"/>
    <s v="grace.williams@example.com"/>
    <n v="-6668459089"/>
    <x v="0"/>
    <b v="1"/>
    <d v="2024-12-18T00:00:00"/>
    <x v="0"/>
    <x v="2"/>
    <x v="0"/>
    <m/>
  </r>
  <r>
    <n v="154"/>
    <x v="154"/>
    <s v="Heidi"/>
    <s v="Jones"/>
    <x v="1"/>
    <x v="8"/>
    <s v="Active"/>
    <s v="11/14/2023"/>
    <n v="75937.100000000006"/>
    <s v="heidi.jones@example.com"/>
    <n v="-2259999662"/>
    <x v="1"/>
    <b v="1"/>
    <d v="2023-11-14T00:00:00"/>
    <x v="1"/>
    <x v="0"/>
    <x v="1"/>
    <m/>
  </r>
  <r>
    <n v="155"/>
    <x v="155"/>
    <s v="David"/>
    <s v="Johnson"/>
    <x v="4"/>
    <x v="11"/>
    <s v="Inactive"/>
    <s v="1/20/2023"/>
    <n v="113118.73"/>
    <s v="david.johnson@example.com"/>
    <n v="-6186371596"/>
    <x v="0"/>
    <b v="0"/>
    <d v="2023-01-20T00:00:00"/>
    <x v="3"/>
    <x v="2"/>
    <x v="1"/>
    <m/>
  </r>
  <r>
    <n v="156"/>
    <x v="156"/>
    <s v="Alice"/>
    <s v="Davis"/>
    <x v="2"/>
    <x v="7"/>
    <s v="Active"/>
    <s v="10/02/2024"/>
    <n v="107693.38"/>
    <s v="alice.davis@example.com"/>
    <n v="-4121820969"/>
    <x v="0"/>
    <b v="1"/>
    <d v="2024-10-02T00:00:00"/>
    <x v="5"/>
    <x v="4"/>
    <x v="2"/>
    <m/>
  </r>
  <r>
    <n v="157"/>
    <x v="157"/>
    <s v="David"/>
    <s v="Johnson"/>
    <x v="1"/>
    <x v="23"/>
    <s v="Inactive"/>
    <s v="5/13/2021"/>
    <n v="119217.46"/>
    <s v="david.johnson@example.com"/>
    <n v="-2316433480"/>
    <x v="3"/>
    <b v="0"/>
    <d v="2021-05-13T00:00:00"/>
    <x v="3"/>
    <x v="1"/>
    <x v="1"/>
    <m/>
  </r>
  <r>
    <n v="158"/>
    <x v="158"/>
    <s v="David"/>
    <s v="Smith"/>
    <x v="0"/>
    <x v="17"/>
    <s v="Pending"/>
    <s v="3/18/2021"/>
    <n v="106913.71"/>
    <s v="david.smith@example.com"/>
    <n v="-7058025661"/>
    <x v="0"/>
    <b v="0"/>
    <d v="2021-03-18T00:00:00"/>
    <x v="4"/>
    <x v="4"/>
    <x v="2"/>
    <m/>
  </r>
  <r>
    <n v="159"/>
    <x v="159"/>
    <s v="Charlie"/>
    <s v="Brown"/>
    <x v="1"/>
    <x v="34"/>
    <s v="Active"/>
    <s v="9/23/2020"/>
    <n v="87815.08"/>
    <s v="charlie.brown@example.com"/>
    <n v="-1286716322"/>
    <x v="0"/>
    <b v="1"/>
    <d v="2020-09-23T00:00:00"/>
    <x v="3"/>
    <x v="0"/>
    <x v="1"/>
    <m/>
  </r>
  <r>
    <n v="160"/>
    <x v="160"/>
    <s v="Bob"/>
    <s v="Davis"/>
    <x v="0"/>
    <x v="16"/>
    <s v="Inactive"/>
    <s v="06/05/2024"/>
    <n v="105190.21"/>
    <s v="bob.davis@example.com"/>
    <n v="-4672994937"/>
    <x v="2"/>
    <b v="1"/>
    <d v="2024-06-05T00:00:00"/>
    <x v="2"/>
    <x v="1"/>
    <x v="2"/>
    <m/>
  </r>
  <r>
    <n v="161"/>
    <x v="161"/>
    <s v="Alice"/>
    <s v="Smith"/>
    <x v="3"/>
    <x v="20"/>
    <s v="Active"/>
    <s v="2/28/2024"/>
    <n v="79467.240000000005"/>
    <s v="alice.smith@example.com"/>
    <n v="-7430271692"/>
    <x v="3"/>
    <b v="0"/>
    <d v="2024-02-28T00:00:00"/>
    <x v="5"/>
    <x v="1"/>
    <x v="1"/>
    <m/>
  </r>
  <r>
    <n v="162"/>
    <x v="162"/>
    <s v="Bob"/>
    <s v="Garcia"/>
    <x v="2"/>
    <x v="8"/>
    <s v="Pending"/>
    <s v="4/30/2023"/>
    <n v="57633.78"/>
    <s v="bob.garcia@example.com"/>
    <n v="-8597779013"/>
    <x v="3"/>
    <b v="1"/>
    <d v="2023-04-30T00:00:00"/>
    <x v="1"/>
    <x v="0"/>
    <x v="0"/>
    <m/>
  </r>
  <r>
    <n v="163"/>
    <x v="163"/>
    <s v="Alice"/>
    <s v="Brown"/>
    <x v="1"/>
    <x v="28"/>
    <s v="Pending"/>
    <s v="03/04/2020"/>
    <n v="54257.78"/>
    <s v="alice.brown@example.com"/>
    <n v="-7546926328"/>
    <x v="3"/>
    <b v="1"/>
    <d v="2020-03-04T00:00:00"/>
    <x v="5"/>
    <x v="3"/>
    <x v="1"/>
    <m/>
  </r>
  <r>
    <n v="164"/>
    <x v="164"/>
    <s v="Grace"/>
    <s v="Johnson"/>
    <x v="2"/>
    <x v="32"/>
    <s v="Inactive"/>
    <s v="12/29/2023"/>
    <n v="113679.06"/>
    <s v="grace.johnson@example.com"/>
    <n v="-6762916031"/>
    <x v="3"/>
    <b v="1"/>
    <d v="2023-12-29T00:00:00"/>
    <x v="0"/>
    <x v="1"/>
    <x v="1"/>
    <m/>
  </r>
  <r>
    <n v="165"/>
    <x v="165"/>
    <s v="Bob"/>
    <s v="Smith"/>
    <x v="4"/>
    <x v="17"/>
    <s v="Active"/>
    <s v="9/15/2020"/>
    <n v="69251.12"/>
    <s v="bob.smith@example.com"/>
    <n v="-4841376814"/>
    <x v="3"/>
    <b v="1"/>
    <d v="2020-09-15T00:00:00"/>
    <x v="4"/>
    <x v="4"/>
    <x v="1"/>
    <m/>
  </r>
  <r>
    <n v="166"/>
    <x v="166"/>
    <s v="Frank"/>
    <s v="Garcia"/>
    <x v="2"/>
    <x v="14"/>
    <s v="Inactive"/>
    <s v="7/18/2022"/>
    <n v="85388.58"/>
    <s v="frank.garcia@example.com"/>
    <n v="-1185672437"/>
    <x v="3"/>
    <b v="1"/>
    <d v="2022-07-18T00:00:00"/>
    <x v="4"/>
    <x v="5"/>
    <x v="1"/>
    <m/>
  </r>
  <r>
    <n v="167"/>
    <x v="167"/>
    <s v="Bob"/>
    <s v="Davis"/>
    <x v="1"/>
    <x v="5"/>
    <s v="Inactive"/>
    <s v="7/13/2022"/>
    <n v="112166.37"/>
    <s v="bob.davis@example.com"/>
    <n v="-701765635"/>
    <x v="1"/>
    <b v="0"/>
    <d v="2022-07-13T00:00:00"/>
    <x v="0"/>
    <x v="4"/>
    <x v="1"/>
    <m/>
  </r>
  <r>
    <n v="168"/>
    <x v="168"/>
    <s v="Heidi"/>
    <s v="Davis"/>
    <x v="2"/>
    <x v="15"/>
    <s v="Active"/>
    <s v="10/02/2021"/>
    <n v="79873.48"/>
    <s v="heidi.davis@example.com"/>
    <n v="-41257770"/>
    <x v="0"/>
    <b v="0"/>
    <d v="2021-10-02T00:00:00"/>
    <x v="1"/>
    <x v="2"/>
    <x v="1"/>
    <m/>
  </r>
  <r>
    <n v="169"/>
    <x v="169"/>
    <s v="Frank"/>
    <s v="Miller"/>
    <x v="3"/>
    <x v="31"/>
    <s v="Active"/>
    <s v="07/05/2020"/>
    <n v="108224.03"/>
    <s v="frank.miller@example.com"/>
    <n v="-1837274219"/>
    <x v="3"/>
    <b v="1"/>
    <d v="2020-07-05T00:00:00"/>
    <x v="0"/>
    <x v="3"/>
    <x v="1"/>
    <m/>
  </r>
  <r>
    <n v="170"/>
    <x v="170"/>
    <s v="Bob"/>
    <s v="Garcia"/>
    <x v="4"/>
    <x v="12"/>
    <s v="Active"/>
    <s v="4/16/2023"/>
    <n v="116963.72"/>
    <s v="bob.garcia@example.com"/>
    <n v="-9124186209"/>
    <x v="0"/>
    <b v="1"/>
    <d v="2023-04-16T00:00:00"/>
    <x v="2"/>
    <x v="5"/>
    <x v="2"/>
    <m/>
  </r>
  <r>
    <n v="171"/>
    <x v="171"/>
    <s v="Bob"/>
    <s v="Jones"/>
    <x v="2"/>
    <x v="22"/>
    <s v="Inactive"/>
    <s v="11/12/2024"/>
    <n v="114109.06"/>
    <s v="bob.jones@example.com"/>
    <n v="-4275230836"/>
    <x v="0"/>
    <b v="1"/>
    <d v="2024-11-12T00:00:00"/>
    <x v="5"/>
    <x v="2"/>
    <x v="2"/>
    <m/>
  </r>
  <r>
    <n v="172"/>
    <x v="172"/>
    <s v="Eva"/>
    <s v="Williams"/>
    <x v="1"/>
    <x v="21"/>
    <s v="Active"/>
    <s v="3/29/2023"/>
    <n v="85518.88"/>
    <s v="eva.williams@example.com"/>
    <n v="-816470899"/>
    <x v="1"/>
    <b v="0"/>
    <d v="2023-03-29T00:00:00"/>
    <x v="5"/>
    <x v="0"/>
    <x v="2"/>
    <m/>
  </r>
  <r>
    <n v="173"/>
    <x v="173"/>
    <s v="Heidi"/>
    <s v="Brown"/>
    <x v="3"/>
    <x v="34"/>
    <s v="Pending"/>
    <s v="1/22/2022"/>
    <n v="58041.97"/>
    <s v="heidi.brown@example.com"/>
    <n v="-6335331059"/>
    <x v="3"/>
    <b v="1"/>
    <d v="2022-01-22T00:00:00"/>
    <x v="3"/>
    <x v="0"/>
    <x v="0"/>
    <m/>
  </r>
  <r>
    <n v="174"/>
    <x v="174"/>
    <s v="David"/>
    <s v="Garcia"/>
    <x v="2"/>
    <x v="14"/>
    <s v="Pending"/>
    <s v="10/14/2023"/>
    <n v="94988.94"/>
    <s v="david.garcia@example.com"/>
    <n v="-531312205"/>
    <x v="2"/>
    <b v="0"/>
    <d v="2023-10-14T00:00:00"/>
    <x v="4"/>
    <x v="5"/>
    <x v="1"/>
    <m/>
  </r>
  <r>
    <n v="175"/>
    <x v="175"/>
    <s v="Eva"/>
    <s v="Miller"/>
    <x v="0"/>
    <x v="19"/>
    <s v="Pending"/>
    <s v="04/10/2024"/>
    <n v="71628.929999999993"/>
    <s v="eva.miller@example.com"/>
    <n v="-8155839385"/>
    <x v="1"/>
    <b v="0"/>
    <d v="2024-04-10T00:00:00"/>
    <x v="2"/>
    <x v="0"/>
    <x v="1"/>
    <m/>
  </r>
  <r>
    <n v="176"/>
    <x v="176"/>
    <s v="Alice"/>
    <s v="Williams"/>
    <x v="3"/>
    <x v="12"/>
    <s v="Pending"/>
    <s v="3/31/2022"/>
    <n v="54870.98"/>
    <s v="alice.williams@example.com"/>
    <n v="-6133155205"/>
    <x v="2"/>
    <b v="0"/>
    <d v="2022-03-31T00:00:00"/>
    <x v="2"/>
    <x v="5"/>
    <x v="1"/>
    <m/>
  </r>
  <r>
    <n v="177"/>
    <x v="177"/>
    <s v="Alice"/>
    <s v="Williams"/>
    <x v="0"/>
    <x v="10"/>
    <s v="Active"/>
    <s v="02/09/2022"/>
    <n v="79388.27"/>
    <s v="alice.williams@example.com"/>
    <n v="-5063731494"/>
    <x v="0"/>
    <b v="1"/>
    <d v="2022-02-09T00:00:00"/>
    <x v="0"/>
    <x v="5"/>
    <x v="0"/>
    <m/>
  </r>
  <r>
    <n v="178"/>
    <x v="178"/>
    <s v="Frank"/>
    <s v="Smith"/>
    <x v="4"/>
    <x v="0"/>
    <s v="Pending"/>
    <s v="05/06/2023"/>
    <n v="55946.99"/>
    <s v="frank.smith@example.com"/>
    <n v="-136497188"/>
    <x v="0"/>
    <b v="0"/>
    <d v="2023-05-06T00:00:00"/>
    <x v="0"/>
    <x v="0"/>
    <x v="0"/>
    <m/>
  </r>
  <r>
    <n v="179"/>
    <x v="179"/>
    <s v="Charlie"/>
    <s v="Williams"/>
    <x v="1"/>
    <x v="11"/>
    <s v="Active"/>
    <s v="07/11/2021"/>
    <n v="81017.91"/>
    <s v="charlie.williams@example.com"/>
    <n v="-2419562524"/>
    <x v="1"/>
    <b v="1"/>
    <d v="2021-07-11T00:00:00"/>
    <x v="3"/>
    <x v="2"/>
    <x v="1"/>
    <m/>
  </r>
  <r>
    <n v="180"/>
    <x v="180"/>
    <s v="Heidi"/>
    <s v="Jones"/>
    <x v="2"/>
    <x v="7"/>
    <s v="Pending"/>
    <s v="8/21/2020"/>
    <n v="74162.100000000006"/>
    <s v="heidi.jones@example.com"/>
    <n v="-7150997682"/>
    <x v="1"/>
    <b v="0"/>
    <d v="2020-08-21T00:00:00"/>
    <x v="5"/>
    <x v="4"/>
    <x v="1"/>
    <m/>
  </r>
  <r>
    <n v="181"/>
    <x v="181"/>
    <s v="Heidi"/>
    <s v="Davis"/>
    <x v="1"/>
    <x v="0"/>
    <s v="Active"/>
    <s v="3/27/2021"/>
    <n v="77668.44"/>
    <s v="heidi.davis@example.com"/>
    <n v="-8903091435"/>
    <x v="2"/>
    <b v="1"/>
    <d v="2021-03-27T00:00:00"/>
    <x v="0"/>
    <x v="0"/>
    <x v="0"/>
    <m/>
  </r>
  <r>
    <n v="182"/>
    <x v="182"/>
    <s v="Alice"/>
    <s v="Miller"/>
    <x v="3"/>
    <x v="7"/>
    <s v="Active"/>
    <s v="4/14/2024"/>
    <n v="67886.37"/>
    <s v="alice.miller@example.com"/>
    <n v="-3910257431"/>
    <x v="3"/>
    <b v="0"/>
    <d v="2024-04-14T00:00:00"/>
    <x v="5"/>
    <x v="4"/>
    <x v="1"/>
    <m/>
  </r>
  <r>
    <n v="183"/>
    <x v="183"/>
    <s v="Alice"/>
    <s v="Williams"/>
    <x v="2"/>
    <x v="31"/>
    <s v="Active"/>
    <s v="9/21/2020"/>
    <n v="76614.52"/>
    <s v="alice.williams@example.com"/>
    <n v="-6303975244"/>
    <x v="2"/>
    <b v="1"/>
    <d v="2020-09-21T00:00:00"/>
    <x v="0"/>
    <x v="3"/>
    <x v="0"/>
    <m/>
  </r>
  <r>
    <n v="184"/>
    <x v="184"/>
    <s v="Frank"/>
    <s v="Smith"/>
    <x v="0"/>
    <x v="15"/>
    <s v="Active"/>
    <s v="06/12/2022"/>
    <n v="51311.91"/>
    <s v="frank.smith@example.com"/>
    <n v="-864035532"/>
    <x v="1"/>
    <b v="0"/>
    <d v="2022-06-12T00:00:00"/>
    <x v="1"/>
    <x v="2"/>
    <x v="0"/>
    <m/>
  </r>
  <r>
    <n v="185"/>
    <x v="185"/>
    <s v="Frank"/>
    <s v="Jones"/>
    <x v="1"/>
    <x v="33"/>
    <s v="Inactive"/>
    <s v="12/24/2023"/>
    <n v="94809.919999999998"/>
    <s v="frank.jones@example.com"/>
    <n v="-8033968526"/>
    <x v="2"/>
    <b v="1"/>
    <d v="2023-12-24T00:00:00"/>
    <x v="1"/>
    <x v="5"/>
    <x v="1"/>
    <m/>
  </r>
  <r>
    <n v="186"/>
    <x v="186"/>
    <s v="Grace"/>
    <s v="Johnson"/>
    <x v="0"/>
    <x v="7"/>
    <s v="Pending"/>
    <s v="7/31/2022"/>
    <n v="108241.81"/>
    <s v="grace.johnson@example.com"/>
    <n v="-171302320"/>
    <x v="1"/>
    <b v="1"/>
    <d v="2022-07-31T00:00:00"/>
    <x v="5"/>
    <x v="4"/>
    <x v="2"/>
    <m/>
  </r>
  <r>
    <n v="187"/>
    <x v="187"/>
    <s v="Bob"/>
    <s v="Davis"/>
    <x v="2"/>
    <x v="6"/>
    <s v="Inactive"/>
    <s v="4/21/2023"/>
    <n v="78031.490000000005"/>
    <s v="bob.davis@example.com"/>
    <n v="-2983381673"/>
    <x v="2"/>
    <b v="1"/>
    <d v="2023-04-21T00:00:00"/>
    <x v="3"/>
    <x v="4"/>
    <x v="0"/>
    <m/>
  </r>
  <r>
    <n v="188"/>
    <x v="188"/>
    <s v="Eva"/>
    <s v="Davis"/>
    <x v="4"/>
    <x v="19"/>
    <s v="Active"/>
    <s v="06/05/2020"/>
    <n v="85733.83"/>
    <s v="eva.davis@example.com"/>
    <n v="-2336293448"/>
    <x v="1"/>
    <b v="1"/>
    <d v="2020-06-05T00:00:00"/>
    <x v="2"/>
    <x v="0"/>
    <x v="2"/>
    <m/>
  </r>
  <r>
    <n v="189"/>
    <x v="189"/>
    <s v="David"/>
    <s v="Miller"/>
    <x v="4"/>
    <x v="22"/>
    <s v="Pending"/>
    <s v="7/27/2024"/>
    <n v="60338.29"/>
    <s v="david.miller@example.com"/>
    <n v="-7347156626"/>
    <x v="1"/>
    <b v="0"/>
    <d v="2024-07-27T00:00:00"/>
    <x v="5"/>
    <x v="2"/>
    <x v="1"/>
    <m/>
  </r>
  <r>
    <n v="190"/>
    <x v="190"/>
    <s v="Eva"/>
    <s v="Davis"/>
    <x v="3"/>
    <x v="12"/>
    <s v="Active"/>
    <s v="04/05/2024"/>
    <n v="103140.67"/>
    <s v="eva.davis@example.com"/>
    <n v="-7689627065"/>
    <x v="1"/>
    <b v="0"/>
    <d v="2024-04-05T00:00:00"/>
    <x v="2"/>
    <x v="5"/>
    <x v="2"/>
    <m/>
  </r>
  <r>
    <n v="191"/>
    <x v="191"/>
    <s v="Heidi"/>
    <s v="Williams"/>
    <x v="2"/>
    <x v="14"/>
    <s v="Inactive"/>
    <s v="10/26/2023"/>
    <n v="114690.8"/>
    <s v="heidi.williams@example.com"/>
    <n v="-1498282466"/>
    <x v="3"/>
    <b v="1"/>
    <d v="2023-10-26T00:00:00"/>
    <x v="4"/>
    <x v="5"/>
    <x v="2"/>
    <m/>
  </r>
  <r>
    <n v="192"/>
    <x v="192"/>
    <s v="Frank"/>
    <s v="Smith"/>
    <x v="4"/>
    <x v="27"/>
    <s v="Active"/>
    <s v="8/18/2022"/>
    <n v="80954.559999999998"/>
    <s v="frank.smith@example.com"/>
    <n v="-4746897151"/>
    <x v="2"/>
    <b v="0"/>
    <d v="2022-08-18T00:00:00"/>
    <x v="2"/>
    <x v="3"/>
    <x v="2"/>
    <m/>
  </r>
  <r>
    <n v="193"/>
    <x v="193"/>
    <s v="Eva"/>
    <s v="Davis"/>
    <x v="1"/>
    <x v="34"/>
    <s v="Pending"/>
    <s v="5/31/2020"/>
    <n v="71728.55"/>
    <s v="eva.davis@example.com"/>
    <n v="-7323008575"/>
    <x v="2"/>
    <b v="1"/>
    <d v="2020-05-31T00:00:00"/>
    <x v="3"/>
    <x v="0"/>
    <x v="0"/>
    <m/>
  </r>
  <r>
    <n v="194"/>
    <x v="194"/>
    <s v="Alice"/>
    <s v="Davis"/>
    <x v="4"/>
    <x v="20"/>
    <s v="Pending"/>
    <s v="11/04/2024"/>
    <n v="118415.8"/>
    <s v="alice.davis@example.com"/>
    <n v="-6656749159"/>
    <x v="2"/>
    <b v="1"/>
    <d v="2024-11-04T00:00:00"/>
    <x v="5"/>
    <x v="1"/>
    <x v="2"/>
    <m/>
  </r>
  <r>
    <n v="195"/>
    <x v="195"/>
    <s v="Grace"/>
    <s v="Johnson"/>
    <x v="2"/>
    <x v="14"/>
    <s v="Pending"/>
    <s v="3/25/2020"/>
    <n v="81481.36"/>
    <s v="grace.johnson@example.com"/>
    <n v="-1692364586"/>
    <x v="1"/>
    <b v="0"/>
    <d v="2020-03-25T00:00:00"/>
    <x v="4"/>
    <x v="5"/>
    <x v="1"/>
    <m/>
  </r>
  <r>
    <n v="196"/>
    <x v="196"/>
    <s v="David"/>
    <s v="Johnson"/>
    <x v="4"/>
    <x v="9"/>
    <s v="Pending"/>
    <s v="11/04/2020"/>
    <n v="117040.57"/>
    <s v="david.johnson@example.com"/>
    <n v="-5066337049"/>
    <x v="2"/>
    <b v="1"/>
    <d v="2020-11-04T00:00:00"/>
    <x v="4"/>
    <x v="3"/>
    <x v="2"/>
    <m/>
  </r>
  <r>
    <n v="197"/>
    <x v="197"/>
    <s v="Frank"/>
    <s v="Brown"/>
    <x v="0"/>
    <x v="29"/>
    <s v="Active"/>
    <s v="3/21/2020"/>
    <n v="67342.06"/>
    <s v="frank.brown@example.com"/>
    <n v="-2497243991"/>
    <x v="2"/>
    <b v="1"/>
    <d v="2020-03-21T00:00:00"/>
    <x v="4"/>
    <x v="2"/>
    <x v="1"/>
    <m/>
  </r>
  <r>
    <n v="198"/>
    <x v="198"/>
    <s v="Heidi"/>
    <s v="Jones"/>
    <x v="1"/>
    <x v="14"/>
    <s v="Active"/>
    <s v="1/15/2022"/>
    <n v="76099.64"/>
    <s v="heidi.jones@example.com"/>
    <n v="-116691835"/>
    <x v="1"/>
    <b v="0"/>
    <d v="2022-01-15T00:00:00"/>
    <x v="4"/>
    <x v="5"/>
    <x v="1"/>
    <m/>
  </r>
  <r>
    <n v="199"/>
    <x v="199"/>
    <s v="Grace"/>
    <s v="Williams"/>
    <x v="4"/>
    <x v="10"/>
    <s v="Active"/>
    <s v="06/04/2024"/>
    <n v="94162.06"/>
    <s v="grace.williams@example.com"/>
    <n v="-2644886945"/>
    <x v="0"/>
    <b v="1"/>
    <d v="2024-06-04T00:00:00"/>
    <x v="0"/>
    <x v="5"/>
    <x v="1"/>
    <m/>
  </r>
  <r>
    <n v="200"/>
    <x v="200"/>
    <s v="Frank"/>
    <s v="Davis"/>
    <x v="0"/>
    <x v="29"/>
    <s v="Inactive"/>
    <s v="08/04/2021"/>
    <n v="67639.7"/>
    <s v="frank.davis@example.com"/>
    <n v="-1195243639"/>
    <x v="1"/>
    <b v="1"/>
    <d v="2021-08-04T00:00:00"/>
    <x v="4"/>
    <x v="2"/>
    <x v="1"/>
    <m/>
  </r>
  <r>
    <n v="201"/>
    <x v="201"/>
    <s v="Charlie"/>
    <s v="Garcia"/>
    <x v="4"/>
    <x v="13"/>
    <s v="Pending"/>
    <s v="10/16/2020"/>
    <n v="114172.25"/>
    <s v="charlie.garcia@example.com"/>
    <n v="-2701168645"/>
    <x v="2"/>
    <b v="1"/>
    <d v="2020-10-16T00:00:00"/>
    <x v="3"/>
    <x v="5"/>
    <x v="1"/>
    <m/>
  </r>
  <r>
    <n v="202"/>
    <x v="202"/>
    <s v="Grace"/>
    <s v="Davis"/>
    <x v="3"/>
    <x v="29"/>
    <s v="Active"/>
    <s v="9/26/2021"/>
    <n v="89124.54"/>
    <s v="grace.davis@example.com"/>
    <n v="-2252237280"/>
    <x v="1"/>
    <b v="1"/>
    <d v="2021-09-26T00:00:00"/>
    <x v="4"/>
    <x v="2"/>
    <x v="1"/>
    <m/>
  </r>
  <r>
    <n v="203"/>
    <x v="203"/>
    <s v="Frank"/>
    <s v="Smith"/>
    <x v="3"/>
    <x v="35"/>
    <s v="Pending"/>
    <s v="11/04/2023"/>
    <n v="113871.36"/>
    <s v="frank.smith@example.com"/>
    <n v="-7932302345"/>
    <x v="0"/>
    <b v="0"/>
    <d v="2023-11-04T00:00:00"/>
    <x v="0"/>
    <x v="2"/>
    <x v="1"/>
    <m/>
  </r>
  <r>
    <n v="204"/>
    <x v="204"/>
    <s v="Grace"/>
    <s v="Brown"/>
    <x v="1"/>
    <x v="20"/>
    <s v="Inactive"/>
    <s v="9/24/2021"/>
    <n v="62618.400000000001"/>
    <s v="grace.brown@example.com"/>
    <n v="-7912141613"/>
    <x v="1"/>
    <b v="0"/>
    <d v="2021-09-24T00:00:00"/>
    <x v="5"/>
    <x v="1"/>
    <x v="1"/>
    <m/>
  </r>
  <r>
    <n v="205"/>
    <x v="205"/>
    <s v="Heidi"/>
    <s v="Jones"/>
    <x v="3"/>
    <x v="26"/>
    <s v="Active"/>
    <s v="06/07/2020"/>
    <n v="70705.45"/>
    <s v="heidi.jones@example.com"/>
    <n v="-1509377099"/>
    <x v="2"/>
    <b v="0"/>
    <d v="2020-06-07T00:00:00"/>
    <x v="2"/>
    <x v="4"/>
    <x v="1"/>
    <m/>
  </r>
  <r>
    <n v="206"/>
    <x v="206"/>
    <s v="Alice"/>
    <s v="Garcia"/>
    <x v="4"/>
    <x v="17"/>
    <s v="Pending"/>
    <s v="02/10/2022"/>
    <n v="60797.69"/>
    <s v="alice.garcia@example.com"/>
    <n v="-4090138068"/>
    <x v="0"/>
    <b v="1"/>
    <d v="2022-02-10T00:00:00"/>
    <x v="4"/>
    <x v="4"/>
    <x v="1"/>
    <m/>
  </r>
  <r>
    <n v="207"/>
    <x v="207"/>
    <s v="Charlie"/>
    <s v="Brown"/>
    <x v="2"/>
    <x v="3"/>
    <s v="Inactive"/>
    <s v="10/17/2023"/>
    <n v="100371"/>
    <s v="charlie.brown@example.com"/>
    <n v="-8477596554"/>
    <x v="3"/>
    <b v="1"/>
    <d v="2023-10-17T00:00:00"/>
    <x v="3"/>
    <x v="3"/>
    <x v="1"/>
    <m/>
  </r>
  <r>
    <n v="208"/>
    <x v="208"/>
    <s v="Eva"/>
    <s v="Miller"/>
    <x v="2"/>
    <x v="12"/>
    <s v="Active"/>
    <s v="9/25/2021"/>
    <n v="117591.76"/>
    <s v="eva.miller@example.com"/>
    <n v="-5356690550"/>
    <x v="2"/>
    <b v="0"/>
    <d v="2021-09-25T00:00:00"/>
    <x v="2"/>
    <x v="5"/>
    <x v="2"/>
    <m/>
  </r>
  <r>
    <n v="209"/>
    <x v="209"/>
    <s v="David"/>
    <s v="Jones"/>
    <x v="4"/>
    <x v="10"/>
    <s v="Inactive"/>
    <s v="08/03/2022"/>
    <n v="103860.7"/>
    <s v="david.jones@example.com"/>
    <n v="-762091842"/>
    <x v="0"/>
    <b v="1"/>
    <d v="2022-08-03T00:00:00"/>
    <x v="0"/>
    <x v="5"/>
    <x v="1"/>
    <m/>
  </r>
  <r>
    <n v="210"/>
    <x v="210"/>
    <s v="Grace"/>
    <s v="Davis"/>
    <x v="3"/>
    <x v="12"/>
    <s v="Active"/>
    <s v="11/22/2024"/>
    <n v="67500.22"/>
    <s v="grace.davis@example.com"/>
    <n v="-5797863049"/>
    <x v="0"/>
    <b v="1"/>
    <d v="2024-11-22T00:00:00"/>
    <x v="2"/>
    <x v="5"/>
    <x v="1"/>
    <m/>
  </r>
  <r>
    <n v="211"/>
    <x v="211"/>
    <s v="Frank"/>
    <s v="Davis"/>
    <x v="1"/>
    <x v="11"/>
    <s v="Pending"/>
    <s v="10/09/2024"/>
    <n v="58727.44"/>
    <s v="frank.davis@example.com"/>
    <n v="-5057397690"/>
    <x v="3"/>
    <b v="1"/>
    <d v="2024-10-09T00:00:00"/>
    <x v="3"/>
    <x v="2"/>
    <x v="0"/>
    <m/>
  </r>
  <r>
    <n v="212"/>
    <x v="212"/>
    <s v="Charlie"/>
    <s v="Jones"/>
    <x v="4"/>
    <x v="33"/>
    <s v="Active"/>
    <s v="8/28/2024"/>
    <n v="80623.08"/>
    <s v="charlie.jones@example.com"/>
    <n v="-5671649327"/>
    <x v="1"/>
    <b v="1"/>
    <d v="2024-08-28T00:00:00"/>
    <x v="1"/>
    <x v="5"/>
    <x v="1"/>
    <m/>
  </r>
  <r>
    <n v="213"/>
    <x v="213"/>
    <s v="David"/>
    <s v="Davis"/>
    <x v="2"/>
    <x v="20"/>
    <s v="Inactive"/>
    <s v="4/19/2020"/>
    <n v="77751.78"/>
    <s v="david.davis@example.com"/>
    <n v="-9802714871"/>
    <x v="1"/>
    <b v="0"/>
    <d v="2020-04-19T00:00:00"/>
    <x v="5"/>
    <x v="1"/>
    <x v="1"/>
    <m/>
  </r>
  <r>
    <n v="214"/>
    <x v="214"/>
    <s v="Grace"/>
    <s v="Williams"/>
    <x v="0"/>
    <x v="7"/>
    <s v="Active"/>
    <s v="10/14/2021"/>
    <n v="115157.81"/>
    <s v="grace.williams@example.com"/>
    <n v="-7178333210"/>
    <x v="2"/>
    <b v="0"/>
    <d v="2021-10-14T00:00:00"/>
    <x v="5"/>
    <x v="4"/>
    <x v="2"/>
    <m/>
  </r>
  <r>
    <n v="215"/>
    <x v="215"/>
    <s v="Frank"/>
    <s v="Jones"/>
    <x v="3"/>
    <x v="16"/>
    <s v="Inactive"/>
    <s v="8/26/2024"/>
    <n v="83071.850000000006"/>
    <s v="frank.jones@example.com"/>
    <n v="-6025643470"/>
    <x v="3"/>
    <b v="0"/>
    <d v="2024-08-26T00:00:00"/>
    <x v="2"/>
    <x v="1"/>
    <x v="2"/>
    <m/>
  </r>
  <r>
    <n v="216"/>
    <x v="216"/>
    <s v="Heidi"/>
    <s v="Brown"/>
    <x v="2"/>
    <x v="4"/>
    <s v="Active"/>
    <s v="02/08/2020"/>
    <n v="67914.67"/>
    <s v="heidi.brown@example.com"/>
    <n v="-2871539914"/>
    <x v="1"/>
    <b v="1"/>
    <d v="2020-02-08T00:00:00"/>
    <x v="4"/>
    <x v="1"/>
    <x v="1"/>
    <m/>
  </r>
  <r>
    <n v="217"/>
    <x v="217"/>
    <s v="Grace"/>
    <s v="Jones"/>
    <x v="0"/>
    <x v="7"/>
    <s v="Inactive"/>
    <s v="09/06/2020"/>
    <n v="53342.46"/>
    <s v="grace.jones@example.com"/>
    <n v="-6686334140"/>
    <x v="3"/>
    <b v="0"/>
    <d v="2020-09-06T00:00:00"/>
    <x v="5"/>
    <x v="4"/>
    <x v="1"/>
    <m/>
  </r>
  <r>
    <n v="218"/>
    <x v="218"/>
    <s v="Heidi"/>
    <s v="Garcia"/>
    <x v="0"/>
    <x v="3"/>
    <s v="Pending"/>
    <s v="01/02/2023"/>
    <n v="51150.47"/>
    <s v="heidi.garcia@example.com"/>
    <n v="-1159319524"/>
    <x v="1"/>
    <b v="0"/>
    <d v="2023-01-02T00:00:00"/>
    <x v="3"/>
    <x v="3"/>
    <x v="0"/>
    <m/>
  </r>
  <r>
    <n v="219"/>
    <x v="219"/>
    <s v="David"/>
    <s v="Davis"/>
    <x v="3"/>
    <x v="28"/>
    <s v="Active"/>
    <s v="6/13/2023"/>
    <n v="74697.119999999995"/>
    <s v="david.davis@example.com"/>
    <n v="-6904098365"/>
    <x v="0"/>
    <b v="1"/>
    <d v="2023-06-13T00:00:00"/>
    <x v="5"/>
    <x v="3"/>
    <x v="1"/>
    <m/>
  </r>
  <r>
    <n v="220"/>
    <x v="220"/>
    <s v="Charlie"/>
    <s v="Williams"/>
    <x v="0"/>
    <x v="24"/>
    <s v="Active"/>
    <s v="12/13/2022"/>
    <n v="88085.74"/>
    <s v="charlie.williams@example.com"/>
    <n v="-5528993159"/>
    <x v="1"/>
    <b v="1"/>
    <d v="2022-12-13T00:00:00"/>
    <x v="4"/>
    <x v="0"/>
    <x v="1"/>
    <m/>
  </r>
  <r>
    <n v="221"/>
    <x v="221"/>
    <s v="Alice"/>
    <s v="Williams"/>
    <x v="2"/>
    <x v="1"/>
    <s v="Pending"/>
    <s v="03/03/2022"/>
    <n v="118672.76"/>
    <s v="alice.williams@example.com"/>
    <n v="-8752437728"/>
    <x v="3"/>
    <b v="0"/>
    <d v="2022-03-03T00:00:00"/>
    <x v="1"/>
    <x v="1"/>
    <x v="2"/>
    <m/>
  </r>
  <r>
    <n v="222"/>
    <x v="222"/>
    <s v="Alice"/>
    <s v="Miller"/>
    <x v="4"/>
    <x v="34"/>
    <s v="Active"/>
    <s v="02/10/2024"/>
    <n v="95997.31"/>
    <s v="alice.miller@example.com"/>
    <n v="-4209548148"/>
    <x v="0"/>
    <b v="0"/>
    <d v="2024-02-10T00:00:00"/>
    <x v="3"/>
    <x v="0"/>
    <x v="1"/>
    <m/>
  </r>
  <r>
    <n v="223"/>
    <x v="223"/>
    <s v="Frank"/>
    <s v="Brown"/>
    <x v="3"/>
    <x v="34"/>
    <s v="Pending"/>
    <s v="11/24/2021"/>
    <n v="106945.62"/>
    <s v="frank.brown@example.com"/>
    <n v="-7374605232"/>
    <x v="0"/>
    <b v="0"/>
    <d v="2021-11-24T00:00:00"/>
    <x v="3"/>
    <x v="0"/>
    <x v="1"/>
    <m/>
  </r>
  <r>
    <n v="224"/>
    <x v="224"/>
    <s v="Heidi"/>
    <s v="Johnson"/>
    <x v="2"/>
    <x v="5"/>
    <s v="Active"/>
    <s v="05/09/2020"/>
    <n v="100123.15"/>
    <s v="heidi.johnson@example.com"/>
    <n v="-276420864"/>
    <x v="0"/>
    <b v="0"/>
    <d v="2020-05-09T00:00:00"/>
    <x v="0"/>
    <x v="4"/>
    <x v="1"/>
    <m/>
  </r>
  <r>
    <n v="225"/>
    <x v="225"/>
    <s v="Alice"/>
    <s v="Johnson"/>
    <x v="4"/>
    <x v="16"/>
    <s v="Active"/>
    <s v="12/19/2024"/>
    <n v="52933.42"/>
    <s v="alice.johnson@example.com"/>
    <n v="-6756618442"/>
    <x v="3"/>
    <b v="1"/>
    <d v="2024-12-19T00:00:00"/>
    <x v="2"/>
    <x v="1"/>
    <x v="1"/>
    <m/>
  </r>
  <r>
    <n v="226"/>
    <x v="226"/>
    <s v="Grace"/>
    <s v="Jones"/>
    <x v="1"/>
    <x v="8"/>
    <s v="Active"/>
    <s v="3/22/2024"/>
    <n v="95283.03"/>
    <s v="grace.jones@example.com"/>
    <n v="-8612590471"/>
    <x v="2"/>
    <b v="0"/>
    <d v="2024-03-22T00:00:00"/>
    <x v="1"/>
    <x v="0"/>
    <x v="1"/>
    <m/>
  </r>
  <r>
    <n v="227"/>
    <x v="227"/>
    <s v="Alice"/>
    <s v="Miller"/>
    <x v="4"/>
    <x v="20"/>
    <s v="Inactive"/>
    <s v="6/13/2022"/>
    <n v="112264.06"/>
    <s v="alice.miller@example.com"/>
    <n v="-9277423329"/>
    <x v="2"/>
    <b v="0"/>
    <d v="2022-06-13T00:00:00"/>
    <x v="5"/>
    <x v="1"/>
    <x v="2"/>
    <m/>
  </r>
  <r>
    <n v="228"/>
    <x v="228"/>
    <s v="Grace"/>
    <s v="Smith"/>
    <x v="4"/>
    <x v="27"/>
    <s v="Pending"/>
    <s v="10/15/2022"/>
    <n v="75714.28"/>
    <s v="grace.smith@example.com"/>
    <n v="-5912662014"/>
    <x v="2"/>
    <b v="1"/>
    <d v="2022-10-15T00:00:00"/>
    <x v="2"/>
    <x v="3"/>
    <x v="2"/>
    <m/>
  </r>
  <r>
    <n v="229"/>
    <x v="229"/>
    <s v="Eva"/>
    <s v="Jones"/>
    <x v="0"/>
    <x v="31"/>
    <s v="Active"/>
    <s v="5/31/2022"/>
    <n v="92171.73"/>
    <s v="eva.jones@example.com"/>
    <n v="-7201859625"/>
    <x v="3"/>
    <b v="0"/>
    <d v="2022-05-31T00:00:00"/>
    <x v="0"/>
    <x v="3"/>
    <x v="1"/>
    <m/>
  </r>
  <r>
    <n v="230"/>
    <x v="230"/>
    <s v="Eva"/>
    <s v="Miller"/>
    <x v="4"/>
    <x v="23"/>
    <s v="Inactive"/>
    <s v="9/15/2023"/>
    <n v="70694.8"/>
    <s v="eva.miller@example.com"/>
    <n v="-3013674925"/>
    <x v="0"/>
    <b v="1"/>
    <d v="2023-09-15T00:00:00"/>
    <x v="3"/>
    <x v="1"/>
    <x v="0"/>
    <m/>
  </r>
  <r>
    <n v="231"/>
    <x v="231"/>
    <s v="Grace"/>
    <s v="Brown"/>
    <x v="3"/>
    <x v="31"/>
    <s v="Inactive"/>
    <s v="07/04/2022"/>
    <n v="52964.86"/>
    <s v="grace.brown@example.com"/>
    <n v="-1764750110"/>
    <x v="2"/>
    <b v="1"/>
    <d v="2022-07-04T00:00:00"/>
    <x v="0"/>
    <x v="3"/>
    <x v="0"/>
    <m/>
  </r>
  <r>
    <n v="232"/>
    <x v="232"/>
    <s v="Frank"/>
    <s v="Brown"/>
    <x v="1"/>
    <x v="8"/>
    <s v="Pending"/>
    <s v="06/08/2024"/>
    <n v="116353.31"/>
    <s v="frank.brown@example.com"/>
    <n v="-1783099973"/>
    <x v="3"/>
    <b v="1"/>
    <d v="2024-06-08T00:00:00"/>
    <x v="1"/>
    <x v="0"/>
    <x v="2"/>
    <m/>
  </r>
  <r>
    <n v="233"/>
    <x v="233"/>
    <s v="Grace"/>
    <s v="Brown"/>
    <x v="4"/>
    <x v="29"/>
    <s v="Pending"/>
    <s v="11/23/2020"/>
    <n v="116695.26"/>
    <s v="grace.brown@example.com"/>
    <n v="-1926764920"/>
    <x v="2"/>
    <b v="0"/>
    <d v="2020-11-23T00:00:00"/>
    <x v="4"/>
    <x v="2"/>
    <x v="2"/>
    <m/>
  </r>
  <r>
    <n v="234"/>
    <x v="234"/>
    <s v="Heidi"/>
    <s v="Brown"/>
    <x v="0"/>
    <x v="16"/>
    <s v="Active"/>
    <s v="5/13/2024"/>
    <n v="95161.4"/>
    <s v="heidi.brown@example.com"/>
    <n v="-5182606887"/>
    <x v="1"/>
    <b v="0"/>
    <d v="2024-05-13T00:00:00"/>
    <x v="2"/>
    <x v="1"/>
    <x v="2"/>
    <m/>
  </r>
  <r>
    <n v="235"/>
    <x v="235"/>
    <s v="Alice"/>
    <s v="Brown"/>
    <x v="1"/>
    <x v="2"/>
    <s v="Inactive"/>
    <s v="1/29/2022"/>
    <n v="76040.94"/>
    <s v="alice.brown@example.com"/>
    <n v="-7189813128"/>
    <x v="2"/>
    <b v="1"/>
    <d v="2022-01-29T00:00:00"/>
    <x v="2"/>
    <x v="2"/>
    <x v="2"/>
    <m/>
  </r>
  <r>
    <n v="236"/>
    <x v="236"/>
    <s v="Charlie"/>
    <s v="Miller"/>
    <x v="1"/>
    <x v="28"/>
    <s v="Inactive"/>
    <s v="8/23/2023"/>
    <n v="69508.28"/>
    <s v="charlie.miller@example.com"/>
    <n v="-2087510292"/>
    <x v="2"/>
    <b v="0"/>
    <d v="2023-08-23T00:00:00"/>
    <x v="5"/>
    <x v="3"/>
    <x v="1"/>
    <m/>
  </r>
  <r>
    <n v="237"/>
    <x v="237"/>
    <s v="Alice"/>
    <s v="Miller"/>
    <x v="3"/>
    <x v="33"/>
    <s v="Inactive"/>
    <s v="2/24/2023"/>
    <n v="58243.27"/>
    <s v="alice.miller@example.com"/>
    <n v="-2184011844"/>
    <x v="0"/>
    <b v="0"/>
    <d v="2023-02-24T00:00:00"/>
    <x v="1"/>
    <x v="5"/>
    <x v="0"/>
    <m/>
  </r>
  <r>
    <n v="238"/>
    <x v="238"/>
    <s v="Heidi"/>
    <s v="Williams"/>
    <x v="3"/>
    <x v="24"/>
    <s v="Pending"/>
    <s v="10/02/2022"/>
    <n v="64012.480000000003"/>
    <s v="heidi.williams@example.com"/>
    <n v="-8260340847"/>
    <x v="3"/>
    <b v="1"/>
    <d v="2022-10-02T00:00:00"/>
    <x v="4"/>
    <x v="0"/>
    <x v="1"/>
    <m/>
  </r>
  <r>
    <n v="239"/>
    <x v="239"/>
    <s v="Bob"/>
    <s v="Garcia"/>
    <x v="2"/>
    <x v="2"/>
    <s v="Inactive"/>
    <s v="6/28/2020"/>
    <n v="106735.93"/>
    <s v="bob.garcia@example.com"/>
    <n v="-7297585987"/>
    <x v="0"/>
    <b v="1"/>
    <d v="2020-06-28T00:00:00"/>
    <x v="2"/>
    <x v="2"/>
    <x v="2"/>
    <m/>
  </r>
  <r>
    <n v="240"/>
    <x v="240"/>
    <s v="Frank"/>
    <s v="Johnson"/>
    <x v="4"/>
    <x v="32"/>
    <s v="Pending"/>
    <s v="1/15/2023"/>
    <n v="70325.36"/>
    <s v="frank.johnson@example.com"/>
    <n v="-3103032431"/>
    <x v="0"/>
    <b v="0"/>
    <d v="2023-01-15T00:00:00"/>
    <x v="0"/>
    <x v="1"/>
    <x v="0"/>
    <m/>
  </r>
  <r>
    <n v="241"/>
    <x v="241"/>
    <s v="Charlie"/>
    <s v="Davis"/>
    <x v="3"/>
    <x v="25"/>
    <s v="Active"/>
    <s v="09/05/2020"/>
    <n v="118959.28"/>
    <s v="charlie.davis@example.com"/>
    <n v="-9839542960"/>
    <x v="0"/>
    <b v="1"/>
    <d v="2020-09-05T00:00:00"/>
    <x v="5"/>
    <x v="5"/>
    <x v="2"/>
    <m/>
  </r>
  <r>
    <n v="242"/>
    <x v="242"/>
    <s v="David"/>
    <s v="Brown"/>
    <x v="2"/>
    <x v="34"/>
    <s v="Pending"/>
    <s v="3/18/2023"/>
    <n v="75823.78"/>
    <s v="david.brown@example.com"/>
    <n v="-8446267145"/>
    <x v="0"/>
    <b v="0"/>
    <d v="2023-03-18T00:00:00"/>
    <x v="3"/>
    <x v="0"/>
    <x v="0"/>
    <m/>
  </r>
  <r>
    <n v="243"/>
    <x v="243"/>
    <s v="Charlie"/>
    <s v="Smith"/>
    <x v="1"/>
    <x v="23"/>
    <s v="Inactive"/>
    <s v="3/26/2022"/>
    <n v="119971.65"/>
    <s v="charlie.smith@example.com"/>
    <n v="-2831435988"/>
    <x v="0"/>
    <b v="0"/>
    <d v="2022-03-26T00:00:00"/>
    <x v="3"/>
    <x v="1"/>
    <x v="1"/>
    <m/>
  </r>
  <r>
    <n v="244"/>
    <x v="244"/>
    <s v="Grace"/>
    <s v="Davis"/>
    <x v="2"/>
    <x v="4"/>
    <s v="Active"/>
    <s v="10/11/2021"/>
    <n v="94963.7"/>
    <s v="grace.davis@example.com"/>
    <n v="-2625660930"/>
    <x v="2"/>
    <b v="0"/>
    <d v="2021-10-11T00:00:00"/>
    <x v="4"/>
    <x v="1"/>
    <x v="1"/>
    <m/>
  </r>
  <r>
    <n v="245"/>
    <x v="245"/>
    <s v="Frank"/>
    <s v="Miller"/>
    <x v="3"/>
    <x v="29"/>
    <s v="Pending"/>
    <s v="01/07/2021"/>
    <n v="103744.71"/>
    <s v="frank.miller@example.com"/>
    <n v="-4181861514"/>
    <x v="0"/>
    <b v="0"/>
    <d v="2021-01-07T00:00:00"/>
    <x v="4"/>
    <x v="2"/>
    <x v="2"/>
    <m/>
  </r>
  <r>
    <n v="246"/>
    <x v="246"/>
    <s v="Alice"/>
    <s v="Smith"/>
    <x v="0"/>
    <x v="17"/>
    <s v="Inactive"/>
    <s v="12/03/2020"/>
    <n v="61337.69"/>
    <s v="alice.smith@example.com"/>
    <n v="-5423401635"/>
    <x v="0"/>
    <b v="1"/>
    <d v="2020-12-03T00:00:00"/>
    <x v="4"/>
    <x v="4"/>
    <x v="1"/>
    <m/>
  </r>
  <r>
    <n v="247"/>
    <x v="247"/>
    <s v="David"/>
    <s v="Smith"/>
    <x v="4"/>
    <x v="24"/>
    <s v="Active"/>
    <s v="5/28/2021"/>
    <n v="63741.13"/>
    <s v="david.smith@example.com"/>
    <n v="-1128497184"/>
    <x v="3"/>
    <b v="1"/>
    <d v="2021-05-28T00:00:00"/>
    <x v="4"/>
    <x v="0"/>
    <x v="1"/>
    <m/>
  </r>
  <r>
    <n v="248"/>
    <x v="248"/>
    <s v="Eva"/>
    <s v="Smith"/>
    <x v="3"/>
    <x v="0"/>
    <s v="Pending"/>
    <s v="12/28/2022"/>
    <n v="56539.99"/>
    <s v="eva.smith@example.com"/>
    <n v="-9484910255"/>
    <x v="1"/>
    <b v="1"/>
    <d v="2022-12-28T00:00:00"/>
    <x v="0"/>
    <x v="0"/>
    <x v="0"/>
    <m/>
  </r>
  <r>
    <n v="249"/>
    <x v="249"/>
    <s v="Charlie"/>
    <s v="Williams"/>
    <x v="3"/>
    <x v="10"/>
    <s v="Pending"/>
    <s v="5/24/2023"/>
    <n v="73633.37"/>
    <s v="charlie.williams@example.com"/>
    <n v="-2588967923"/>
    <x v="2"/>
    <b v="1"/>
    <d v="2023-05-24T00:00:00"/>
    <x v="0"/>
    <x v="5"/>
    <x v="0"/>
    <m/>
  </r>
  <r>
    <n v="250"/>
    <x v="250"/>
    <s v="Alice"/>
    <s v="Miller"/>
    <x v="0"/>
    <x v="23"/>
    <s v="Pending"/>
    <s v="4/28/2024"/>
    <n v="90373.99"/>
    <s v="alice.miller@example.com"/>
    <n v="-822269404"/>
    <x v="2"/>
    <b v="0"/>
    <d v="2024-04-28T00:00:00"/>
    <x v="3"/>
    <x v="1"/>
    <x v="1"/>
    <m/>
  </r>
  <r>
    <n v="251"/>
    <x v="251"/>
    <s v="Grace"/>
    <s v="Smith"/>
    <x v="1"/>
    <x v="32"/>
    <s v="Inactive"/>
    <s v="12/25/2024"/>
    <n v="93901.48"/>
    <s v="grace.smith@example.com"/>
    <n v="-3967275783"/>
    <x v="2"/>
    <b v="0"/>
    <d v="2024-12-25T00:00:00"/>
    <x v="0"/>
    <x v="1"/>
    <x v="1"/>
    <m/>
  </r>
  <r>
    <n v="252"/>
    <x v="252"/>
    <s v="Eva"/>
    <s v="Brown"/>
    <x v="2"/>
    <x v="2"/>
    <s v="Inactive"/>
    <s v="09/01/2021"/>
    <n v="81748.09"/>
    <s v="eva.brown@example.com"/>
    <n v="-4683414650"/>
    <x v="0"/>
    <b v="1"/>
    <d v="2021-09-01T00:00:00"/>
    <x v="2"/>
    <x v="2"/>
    <x v="2"/>
    <m/>
  </r>
  <r>
    <n v="253"/>
    <x v="253"/>
    <s v="Charlie"/>
    <s v="Jones"/>
    <x v="2"/>
    <x v="18"/>
    <s v="Inactive"/>
    <s v="2/21/2021"/>
    <n v="73813.48"/>
    <s v="charlie.jones@example.com"/>
    <n v="-1131290147"/>
    <x v="0"/>
    <b v="0"/>
    <d v="2021-02-21T00:00:00"/>
    <x v="1"/>
    <x v="3"/>
    <x v="1"/>
    <m/>
  </r>
  <r>
    <n v="254"/>
    <x v="254"/>
    <s v="Frank"/>
    <s v="Smith"/>
    <x v="4"/>
    <x v="30"/>
    <s v="Inactive"/>
    <s v="11/20/2022"/>
    <n v="89315.59"/>
    <s v="frank.smith@example.com"/>
    <n v="-7068277880"/>
    <x v="0"/>
    <b v="0"/>
    <d v="2022-11-20T00:00:00"/>
    <x v="1"/>
    <x v="4"/>
    <x v="1"/>
    <m/>
  </r>
  <r>
    <n v="255"/>
    <x v="255"/>
    <s v="Heidi"/>
    <s v="Williams"/>
    <x v="0"/>
    <x v="28"/>
    <s v="Active"/>
    <s v="10/15/2020"/>
    <n v="56776.82"/>
    <s v="heidi.williams@example.com"/>
    <n v="-6093068537"/>
    <x v="3"/>
    <b v="0"/>
    <d v="2020-10-15T00:00:00"/>
    <x v="5"/>
    <x v="3"/>
    <x v="1"/>
    <m/>
  </r>
  <r>
    <n v="256"/>
    <x v="256"/>
    <s v="Grace"/>
    <s v="Davis"/>
    <x v="1"/>
    <x v="30"/>
    <s v="Active"/>
    <s v="7/24/2024"/>
    <n v="72920.509999999995"/>
    <s v="grace.davis@example.com"/>
    <n v="-9097283214"/>
    <x v="1"/>
    <b v="1"/>
    <d v="2024-07-24T00:00:00"/>
    <x v="1"/>
    <x v="4"/>
    <x v="1"/>
    <m/>
  </r>
  <r>
    <n v="257"/>
    <x v="257"/>
    <s v="Frank"/>
    <s v="Miller"/>
    <x v="3"/>
    <x v="27"/>
    <s v="Pending"/>
    <s v="8/14/2022"/>
    <n v="84913.18"/>
    <s v="frank.miller@example.com"/>
    <n v="-2850676250"/>
    <x v="0"/>
    <b v="1"/>
    <d v="2022-08-14T00:00:00"/>
    <x v="2"/>
    <x v="3"/>
    <x v="2"/>
    <m/>
  </r>
  <r>
    <n v="258"/>
    <x v="258"/>
    <s v="Alice"/>
    <s v="Garcia"/>
    <x v="0"/>
    <x v="33"/>
    <s v="Inactive"/>
    <s v="05/08/2021"/>
    <n v="65060.11"/>
    <s v="alice.garcia@example.com"/>
    <n v="-5381447442"/>
    <x v="1"/>
    <b v="1"/>
    <d v="2021-05-08T00:00:00"/>
    <x v="1"/>
    <x v="5"/>
    <x v="1"/>
    <m/>
  </r>
  <r>
    <n v="259"/>
    <x v="259"/>
    <s v="Alice"/>
    <s v="Williams"/>
    <x v="4"/>
    <x v="33"/>
    <s v="Pending"/>
    <s v="10/09/2023"/>
    <n v="82941.08"/>
    <s v="alice.williams@example.com"/>
    <n v="-963480796"/>
    <x v="3"/>
    <b v="0"/>
    <d v="2023-10-09T00:00:00"/>
    <x v="1"/>
    <x v="5"/>
    <x v="1"/>
    <m/>
  </r>
  <r>
    <n v="260"/>
    <x v="260"/>
    <s v="Bob"/>
    <s v="Smith"/>
    <x v="2"/>
    <x v="19"/>
    <s v="Pending"/>
    <s v="1/19/2022"/>
    <n v="103469.97"/>
    <s v="bob.smith@example.com"/>
    <n v="-509754509"/>
    <x v="2"/>
    <b v="1"/>
    <d v="2022-01-19T00:00:00"/>
    <x v="2"/>
    <x v="0"/>
    <x v="2"/>
    <m/>
  </r>
  <r>
    <n v="261"/>
    <x v="261"/>
    <s v="Grace"/>
    <s v="Miller"/>
    <x v="0"/>
    <x v="14"/>
    <s v="Active"/>
    <s v="01/12/2022"/>
    <n v="88725.6"/>
    <s v="grace.miller@example.com"/>
    <n v="-5265016730"/>
    <x v="0"/>
    <b v="1"/>
    <d v="2022-01-12T00:00:00"/>
    <x v="4"/>
    <x v="5"/>
    <x v="1"/>
    <m/>
  </r>
  <r>
    <n v="262"/>
    <x v="262"/>
    <s v="Heidi"/>
    <s v="Jones"/>
    <x v="1"/>
    <x v="25"/>
    <s v="Pending"/>
    <s v="06/05/2023"/>
    <n v="58316.77"/>
    <s v="heidi.jones@example.com"/>
    <n v="-8826170242"/>
    <x v="1"/>
    <b v="1"/>
    <d v="2023-06-05T00:00:00"/>
    <x v="5"/>
    <x v="5"/>
    <x v="1"/>
    <m/>
  </r>
  <r>
    <n v="263"/>
    <x v="263"/>
    <s v="Grace"/>
    <s v="Smith"/>
    <x v="4"/>
    <x v="25"/>
    <s v="Inactive"/>
    <s v="3/26/2024"/>
    <n v="60098.720000000001"/>
    <s v="grace.smith@example.com"/>
    <n v="-7654562840"/>
    <x v="1"/>
    <b v="1"/>
    <d v="2024-03-26T00:00:00"/>
    <x v="5"/>
    <x v="5"/>
    <x v="1"/>
    <m/>
  </r>
  <r>
    <n v="264"/>
    <x v="264"/>
    <s v="Grace"/>
    <s v="Williams"/>
    <x v="1"/>
    <x v="23"/>
    <s v="Active"/>
    <s v="10/07/2020"/>
    <n v="99951.43"/>
    <s v="grace.williams@example.com"/>
    <n v="-7722560530"/>
    <x v="0"/>
    <b v="1"/>
    <d v="2020-10-07T00:00:00"/>
    <x v="3"/>
    <x v="1"/>
    <x v="1"/>
    <m/>
  </r>
  <r>
    <n v="265"/>
    <x v="265"/>
    <s v="Heidi"/>
    <s v="Johnson"/>
    <x v="3"/>
    <x v="14"/>
    <s v="Active"/>
    <s v="11/02/2021"/>
    <n v="115195.81"/>
    <s v="heidi.johnson@example.com"/>
    <n v="-3402665022"/>
    <x v="2"/>
    <b v="1"/>
    <d v="2021-11-02T00:00:00"/>
    <x v="4"/>
    <x v="5"/>
    <x v="2"/>
    <m/>
  </r>
  <r>
    <n v="266"/>
    <x v="266"/>
    <s v="Grace"/>
    <s v="Brown"/>
    <x v="1"/>
    <x v="0"/>
    <s v="Pending"/>
    <s v="11/19/2021"/>
    <n v="85512.05"/>
    <s v="grace.brown@example.com"/>
    <n v="-7416787255"/>
    <x v="2"/>
    <b v="0"/>
    <d v="2021-11-19T00:00:00"/>
    <x v="0"/>
    <x v="0"/>
    <x v="1"/>
    <m/>
  </r>
  <r>
    <n v="267"/>
    <x v="267"/>
    <s v="Heidi"/>
    <s v="Garcia"/>
    <x v="1"/>
    <x v="28"/>
    <s v="Active"/>
    <s v="1/24/2022"/>
    <n v="73186.77"/>
    <s v="heidi.garcia@example.com"/>
    <n v="-8621102257"/>
    <x v="2"/>
    <b v="0"/>
    <d v="2022-01-24T00:00:00"/>
    <x v="5"/>
    <x v="3"/>
    <x v="1"/>
    <m/>
  </r>
  <r>
    <n v="268"/>
    <x v="268"/>
    <s v="Grace"/>
    <s v="Davis"/>
    <x v="1"/>
    <x v="22"/>
    <s v="Pending"/>
    <s v="07/12/2023"/>
    <n v="51865.3"/>
    <s v="grace.davis@example.com"/>
    <n v="-305690673"/>
    <x v="3"/>
    <b v="1"/>
    <d v="2023-07-12T00:00:00"/>
    <x v="5"/>
    <x v="2"/>
    <x v="1"/>
    <m/>
  </r>
  <r>
    <n v="269"/>
    <x v="269"/>
    <s v="David"/>
    <s v="Williams"/>
    <x v="0"/>
    <x v="9"/>
    <s v="Active"/>
    <s v="12/09/2022"/>
    <n v="94031.77"/>
    <s v="david.williams@example.com"/>
    <n v="-4716392822"/>
    <x v="1"/>
    <b v="1"/>
    <d v="2022-12-09T00:00:00"/>
    <x v="4"/>
    <x v="3"/>
    <x v="1"/>
    <m/>
  </r>
  <r>
    <n v="270"/>
    <x v="270"/>
    <s v="Grace"/>
    <s v="Miller"/>
    <x v="3"/>
    <x v="5"/>
    <s v="Active"/>
    <s v="3/18/2023"/>
    <n v="116374.36"/>
    <s v="grace.miller@example.com"/>
    <n v="-4143637188"/>
    <x v="1"/>
    <b v="0"/>
    <d v="2023-03-18T00:00:00"/>
    <x v="0"/>
    <x v="4"/>
    <x v="1"/>
    <m/>
  </r>
  <r>
    <n v="271"/>
    <x v="271"/>
    <s v="Alice"/>
    <s v="Garcia"/>
    <x v="2"/>
    <x v="28"/>
    <s v="Active"/>
    <s v="4/25/2022"/>
    <n v="98335.02"/>
    <s v="alice.garcia@example.com"/>
    <n v="-2392312603"/>
    <x v="1"/>
    <b v="0"/>
    <d v="2022-04-25T00:00:00"/>
    <x v="5"/>
    <x v="3"/>
    <x v="2"/>
    <m/>
  </r>
  <r>
    <n v="272"/>
    <x v="272"/>
    <s v="Heidi"/>
    <s v="Garcia"/>
    <x v="0"/>
    <x v="5"/>
    <s v="Pending"/>
    <s v="2/28/2021"/>
    <n v="89262.07"/>
    <s v="heidi.garcia@example.com"/>
    <n v="-3260931065"/>
    <x v="3"/>
    <b v="1"/>
    <d v="2021-02-28T00:00:00"/>
    <x v="0"/>
    <x v="4"/>
    <x v="1"/>
    <m/>
  </r>
  <r>
    <n v="273"/>
    <x v="273"/>
    <s v="Heidi"/>
    <s v="Garcia"/>
    <x v="1"/>
    <x v="8"/>
    <s v="Active"/>
    <s v="7/30/2022"/>
    <n v="113848.69"/>
    <s v="heidi.garcia@example.com"/>
    <n v="-8433567085"/>
    <x v="1"/>
    <b v="1"/>
    <d v="2022-07-30T00:00:00"/>
    <x v="1"/>
    <x v="0"/>
    <x v="2"/>
    <m/>
  </r>
  <r>
    <n v="274"/>
    <x v="274"/>
    <s v="Frank"/>
    <s v="Smith"/>
    <x v="4"/>
    <x v="9"/>
    <s v="Active"/>
    <s v="5/19/2021"/>
    <n v="69530.45"/>
    <s v="frank.smith@example.com"/>
    <n v="-414545634"/>
    <x v="3"/>
    <b v="1"/>
    <d v="2021-05-19T00:00:00"/>
    <x v="4"/>
    <x v="3"/>
    <x v="1"/>
    <m/>
  </r>
  <r>
    <n v="275"/>
    <x v="275"/>
    <s v="Eva"/>
    <s v="Brown"/>
    <x v="4"/>
    <x v="5"/>
    <s v="Pending"/>
    <s v="12/14/2023"/>
    <n v="84230.22"/>
    <s v="eva.brown@example.com"/>
    <n v="-200053473"/>
    <x v="2"/>
    <b v="1"/>
    <d v="2023-12-14T00:00:00"/>
    <x v="0"/>
    <x v="4"/>
    <x v="0"/>
    <m/>
  </r>
  <r>
    <n v="276"/>
    <x v="276"/>
    <s v="Eva"/>
    <s v="Smith"/>
    <x v="4"/>
    <x v="13"/>
    <s v="Pending"/>
    <s v="1/17/2023"/>
    <n v="76578.59"/>
    <s v="eva.smith@example.com"/>
    <n v="-9162475540"/>
    <x v="0"/>
    <b v="0"/>
    <d v="2023-01-17T00:00:00"/>
    <x v="3"/>
    <x v="5"/>
    <x v="0"/>
    <m/>
  </r>
  <r>
    <n v="277"/>
    <x v="277"/>
    <s v="Frank"/>
    <s v="Miller"/>
    <x v="3"/>
    <x v="20"/>
    <s v="Inactive"/>
    <s v="01/02/2024"/>
    <n v="55532.06"/>
    <s v="frank.miller@example.com"/>
    <n v="-1082555988"/>
    <x v="1"/>
    <b v="1"/>
    <d v="2024-01-02T00:00:00"/>
    <x v="5"/>
    <x v="1"/>
    <x v="1"/>
    <m/>
  </r>
  <r>
    <n v="278"/>
    <x v="278"/>
    <s v="Eva"/>
    <s v="Smith"/>
    <x v="2"/>
    <x v="26"/>
    <s v="Pending"/>
    <s v="07/09/2021"/>
    <n v="115311.67999999999"/>
    <s v="eva.smith@example.com"/>
    <n v="-5343961128"/>
    <x v="1"/>
    <b v="1"/>
    <d v="2021-07-09T00:00:00"/>
    <x v="2"/>
    <x v="4"/>
    <x v="2"/>
    <m/>
  </r>
  <r>
    <n v="279"/>
    <x v="279"/>
    <s v="Charlie"/>
    <s v="Johnson"/>
    <x v="0"/>
    <x v="29"/>
    <s v="Pending"/>
    <s v="05/05/2021"/>
    <n v="66972.06"/>
    <s v="charlie.johnson@example.com"/>
    <n v="-1093371188"/>
    <x v="2"/>
    <b v="1"/>
    <d v="2021-05-05T00:00:00"/>
    <x v="4"/>
    <x v="2"/>
    <x v="1"/>
    <m/>
  </r>
  <r>
    <n v="280"/>
    <x v="280"/>
    <s v="David"/>
    <s v="Brown"/>
    <x v="3"/>
    <x v="23"/>
    <s v="Inactive"/>
    <s v="11/07/2021"/>
    <n v="100215.06"/>
    <s v="david.brown@example.com"/>
    <n v="-5473820235"/>
    <x v="0"/>
    <b v="1"/>
    <d v="2021-11-07T00:00:00"/>
    <x v="3"/>
    <x v="1"/>
    <x v="1"/>
    <m/>
  </r>
  <r>
    <n v="281"/>
    <x v="281"/>
    <s v="Charlie"/>
    <s v="Brown"/>
    <x v="0"/>
    <x v="17"/>
    <s v="Inactive"/>
    <s v="8/30/2023"/>
    <n v="115452.25"/>
    <s v="charlie.brown@example.com"/>
    <n v="-8485571616"/>
    <x v="3"/>
    <b v="0"/>
    <d v="2023-08-30T00:00:00"/>
    <x v="4"/>
    <x v="4"/>
    <x v="2"/>
    <m/>
  </r>
  <r>
    <n v="282"/>
    <x v="282"/>
    <s v="Heidi"/>
    <s v="Miller"/>
    <x v="3"/>
    <x v="21"/>
    <s v="Inactive"/>
    <s v="8/15/2023"/>
    <n v="54141.38"/>
    <s v="heidi.miller@example.com"/>
    <n v="-6880294239"/>
    <x v="0"/>
    <b v="0"/>
    <d v="2023-08-15T00:00:00"/>
    <x v="5"/>
    <x v="0"/>
    <x v="1"/>
    <m/>
  </r>
  <r>
    <n v="283"/>
    <x v="283"/>
    <s v="David"/>
    <s v="Davis"/>
    <x v="1"/>
    <x v="35"/>
    <s v="Active"/>
    <s v="12/24/2020"/>
    <n v="79251.95"/>
    <s v="david.davis@example.com"/>
    <n v="-9036788126"/>
    <x v="2"/>
    <b v="0"/>
    <d v="2020-12-24T00:00:00"/>
    <x v="0"/>
    <x v="2"/>
    <x v="0"/>
    <m/>
  </r>
  <r>
    <n v="284"/>
    <x v="284"/>
    <s v="Alice"/>
    <s v="Johnson"/>
    <x v="2"/>
    <x v="30"/>
    <s v="Pending"/>
    <s v="11/21/2024"/>
    <n v="114822.78"/>
    <s v="alice.johnson@example.com"/>
    <n v="-8686694319"/>
    <x v="2"/>
    <b v="1"/>
    <d v="2024-11-21T00:00:00"/>
    <x v="1"/>
    <x v="4"/>
    <x v="2"/>
    <m/>
  </r>
  <r>
    <n v="285"/>
    <x v="285"/>
    <s v="Alice"/>
    <s v="Williams"/>
    <x v="4"/>
    <x v="14"/>
    <s v="Active"/>
    <s v="11/17/2021"/>
    <n v="69919.320000000007"/>
    <s v="alice.williams@example.com"/>
    <n v="-2939087883"/>
    <x v="0"/>
    <b v="1"/>
    <d v="2021-11-17T00:00:00"/>
    <x v="4"/>
    <x v="5"/>
    <x v="1"/>
    <m/>
  </r>
  <r>
    <n v="286"/>
    <x v="286"/>
    <s v="Heidi"/>
    <s v="Smith"/>
    <x v="3"/>
    <x v="9"/>
    <s v="Inactive"/>
    <s v="1/29/2021"/>
    <n v="106616.97"/>
    <s v="heidi.smith@example.com"/>
    <n v="-4344812307"/>
    <x v="3"/>
    <b v="0"/>
    <d v="2021-01-29T00:00:00"/>
    <x v="4"/>
    <x v="3"/>
    <x v="2"/>
    <m/>
  </r>
  <r>
    <n v="287"/>
    <x v="287"/>
    <s v="Heidi"/>
    <s v="Jones"/>
    <x v="4"/>
    <x v="5"/>
    <s v="Active"/>
    <s v="2/17/2024"/>
    <n v="73597.850000000006"/>
    <s v="heidi.jones@example.com"/>
    <n v="-3402424032"/>
    <x v="3"/>
    <b v="1"/>
    <d v="2024-02-17T00:00:00"/>
    <x v="0"/>
    <x v="4"/>
    <x v="0"/>
    <m/>
  </r>
  <r>
    <n v="288"/>
    <x v="288"/>
    <s v="David"/>
    <s v="Smith"/>
    <x v="3"/>
    <x v="29"/>
    <s v="Inactive"/>
    <s v="8/20/2024"/>
    <n v="79939.23"/>
    <s v="david.smith@example.com"/>
    <n v="-8105955183"/>
    <x v="1"/>
    <b v="1"/>
    <d v="2024-08-20T00:00:00"/>
    <x v="4"/>
    <x v="2"/>
    <x v="1"/>
    <m/>
  </r>
  <r>
    <n v="289"/>
    <x v="289"/>
    <s v="Grace"/>
    <s v="Garcia"/>
    <x v="0"/>
    <x v="26"/>
    <s v="Inactive"/>
    <s v="10/24/2021"/>
    <n v="85165.05"/>
    <s v="grace.garcia@example.com"/>
    <n v="-2694500533"/>
    <x v="3"/>
    <b v="0"/>
    <d v="2021-10-24T00:00:00"/>
    <x v="2"/>
    <x v="4"/>
    <x v="2"/>
    <m/>
  </r>
  <r>
    <n v="290"/>
    <x v="290"/>
    <s v="Grace"/>
    <s v="Smith"/>
    <x v="3"/>
    <x v="8"/>
    <s v="Inactive"/>
    <s v="09/10/2021"/>
    <n v="90772.25"/>
    <s v="grace.smith@example.com"/>
    <n v="-2408916497"/>
    <x v="0"/>
    <b v="0"/>
    <d v="2021-09-10T00:00:00"/>
    <x v="1"/>
    <x v="0"/>
    <x v="1"/>
    <m/>
  </r>
  <r>
    <n v="291"/>
    <x v="291"/>
    <s v="Eva"/>
    <s v="Williams"/>
    <x v="4"/>
    <x v="5"/>
    <s v="Active"/>
    <s v="9/29/2023"/>
    <n v="58275.74"/>
    <s v="eva.williams@example.com"/>
    <n v="-3735439626"/>
    <x v="2"/>
    <b v="0"/>
    <d v="2023-09-29T00:00:00"/>
    <x v="0"/>
    <x v="4"/>
    <x v="0"/>
    <m/>
  </r>
  <r>
    <n v="292"/>
    <x v="292"/>
    <s v="Grace"/>
    <s v="Smith"/>
    <x v="1"/>
    <x v="0"/>
    <s v="Pending"/>
    <s v="8/28/2020"/>
    <n v="94709.79"/>
    <s v="grace.smith@example.com"/>
    <n v="-3652717271"/>
    <x v="1"/>
    <b v="0"/>
    <d v="2020-08-28T00:00:00"/>
    <x v="0"/>
    <x v="0"/>
    <x v="1"/>
    <m/>
  </r>
  <r>
    <n v="293"/>
    <x v="293"/>
    <s v="Frank"/>
    <s v="Johnson"/>
    <x v="1"/>
    <x v="26"/>
    <s v="Active"/>
    <s v="09/06/2022"/>
    <n v="60722.99"/>
    <s v="frank.johnson@example.com"/>
    <n v="-2397240421"/>
    <x v="1"/>
    <b v="1"/>
    <d v="2022-09-06T00:00:00"/>
    <x v="2"/>
    <x v="4"/>
    <x v="1"/>
    <m/>
  </r>
  <r>
    <n v="294"/>
    <x v="294"/>
    <s v="Frank"/>
    <s v="Johnson"/>
    <x v="2"/>
    <x v="10"/>
    <s v="Inactive"/>
    <s v="3/31/2024"/>
    <n v="87626.240000000005"/>
    <s v="frank.johnson@example.com"/>
    <n v="-6931216375"/>
    <x v="2"/>
    <b v="1"/>
    <d v="2024-03-31T00:00:00"/>
    <x v="0"/>
    <x v="5"/>
    <x v="1"/>
    <m/>
  </r>
  <r>
    <n v="295"/>
    <x v="295"/>
    <s v="David"/>
    <s v="Brown"/>
    <x v="3"/>
    <x v="10"/>
    <s v="Active"/>
    <s v="12/12/2022"/>
    <n v="81272.36"/>
    <s v="david.brown@example.com"/>
    <n v="-1820916600"/>
    <x v="3"/>
    <b v="0"/>
    <d v="2022-12-12T00:00:00"/>
    <x v="0"/>
    <x v="5"/>
    <x v="0"/>
    <m/>
  </r>
  <r>
    <n v="296"/>
    <x v="296"/>
    <s v="Bob"/>
    <s v="Miller"/>
    <x v="1"/>
    <x v="23"/>
    <s v="Pending"/>
    <s v="11/01/2022"/>
    <n v="64150.97"/>
    <s v="bob.miller@example.com"/>
    <n v="-23142899"/>
    <x v="2"/>
    <b v="1"/>
    <d v="2022-11-01T00:00:00"/>
    <x v="3"/>
    <x v="1"/>
    <x v="0"/>
    <m/>
  </r>
  <r>
    <n v="297"/>
    <x v="297"/>
    <s v="Charlie"/>
    <s v="Davis"/>
    <x v="4"/>
    <x v="9"/>
    <s v="Active"/>
    <s v="10/25/2023"/>
    <n v="64378.1"/>
    <s v="charlie.davis@example.com"/>
    <n v="-1851327971"/>
    <x v="3"/>
    <b v="0"/>
    <d v="2023-10-25T00:00:00"/>
    <x v="4"/>
    <x v="3"/>
    <x v="1"/>
    <m/>
  </r>
  <r>
    <n v="298"/>
    <x v="298"/>
    <s v="Bob"/>
    <s v="Jones"/>
    <x v="1"/>
    <x v="1"/>
    <s v="Inactive"/>
    <s v="9/27/2020"/>
    <n v="85927.35"/>
    <s v="bob.jones@example.com"/>
    <n v="-4572308480"/>
    <x v="2"/>
    <b v="0"/>
    <d v="2020-09-27T00:00:00"/>
    <x v="1"/>
    <x v="1"/>
    <x v="1"/>
    <m/>
  </r>
  <r>
    <n v="299"/>
    <x v="299"/>
    <s v="Alice"/>
    <s v="Garcia"/>
    <x v="1"/>
    <x v="15"/>
    <s v="Inactive"/>
    <s v="1/21/2024"/>
    <n v="51523.93"/>
    <s v="alice.garcia@example.com"/>
    <n v="-18418619"/>
    <x v="0"/>
    <b v="1"/>
    <d v="2024-01-21T00:00:00"/>
    <x v="1"/>
    <x v="2"/>
    <x v="0"/>
    <m/>
  </r>
  <r>
    <n v="300"/>
    <x v="300"/>
    <s v="Alice"/>
    <s v="Smith"/>
    <x v="3"/>
    <x v="4"/>
    <s v="Active"/>
    <s v="5/17/2022"/>
    <n v="74117.02"/>
    <s v="alice.smith@example.com"/>
    <n v="-3036625435"/>
    <x v="3"/>
    <b v="0"/>
    <d v="2022-05-17T00:00:00"/>
    <x v="4"/>
    <x v="1"/>
    <x v="1"/>
    <m/>
  </r>
  <r>
    <n v="301"/>
    <x v="301"/>
    <s v="Alice"/>
    <s v="Smith"/>
    <x v="0"/>
    <x v="1"/>
    <s v="Inactive"/>
    <s v="4/17/2022"/>
    <n v="62598.69"/>
    <s v="alice.smith@example.com"/>
    <n v="-1721314518"/>
    <x v="0"/>
    <b v="1"/>
    <d v="2022-04-17T00:00:00"/>
    <x v="1"/>
    <x v="1"/>
    <x v="1"/>
    <m/>
  </r>
  <r>
    <n v="302"/>
    <x v="302"/>
    <s v="Grace"/>
    <s v="Williams"/>
    <x v="4"/>
    <x v="18"/>
    <s v="Inactive"/>
    <s v="02/08/2022"/>
    <n v="55617.5"/>
    <s v="grace.williams@example.com"/>
    <n v="-5151092267"/>
    <x v="1"/>
    <b v="1"/>
    <d v="2022-02-08T00:00:00"/>
    <x v="1"/>
    <x v="3"/>
    <x v="0"/>
    <m/>
  </r>
  <r>
    <n v="303"/>
    <x v="303"/>
    <s v="Charlie"/>
    <s v="Miller"/>
    <x v="4"/>
    <x v="6"/>
    <s v="Pending"/>
    <s v="3/15/2022"/>
    <n v="87018.98"/>
    <s v="charlie.miller@example.com"/>
    <n v="-5926249450"/>
    <x v="2"/>
    <b v="1"/>
    <d v="2022-03-15T00:00:00"/>
    <x v="3"/>
    <x v="4"/>
    <x v="1"/>
    <m/>
  </r>
  <r>
    <n v="304"/>
    <x v="304"/>
    <s v="David"/>
    <s v="Johnson"/>
    <x v="0"/>
    <x v="34"/>
    <s v="Inactive"/>
    <s v="10/11/2023"/>
    <n v="100336.58"/>
    <s v="david.johnson@example.com"/>
    <n v="-4754102251"/>
    <x v="1"/>
    <b v="1"/>
    <d v="2023-10-11T00:00:00"/>
    <x v="3"/>
    <x v="0"/>
    <x v="1"/>
    <m/>
  </r>
  <r>
    <n v="305"/>
    <x v="305"/>
    <s v="Grace"/>
    <s v="Jones"/>
    <x v="3"/>
    <x v="27"/>
    <s v="Inactive"/>
    <s v="11/13/2020"/>
    <n v="69295.48"/>
    <s v="grace.jones@example.com"/>
    <n v="-6771196420"/>
    <x v="1"/>
    <b v="0"/>
    <d v="2020-11-13T00:00:00"/>
    <x v="2"/>
    <x v="3"/>
    <x v="1"/>
    <m/>
  </r>
  <r>
    <n v="306"/>
    <x v="306"/>
    <s v="Bob"/>
    <s v="Brown"/>
    <x v="0"/>
    <x v="31"/>
    <s v="Pending"/>
    <s v="4/17/2024"/>
    <n v="115536.66"/>
    <s v="bob.brown@example.com"/>
    <n v="-5226557675"/>
    <x v="1"/>
    <b v="1"/>
    <d v="2024-04-17T00:00:00"/>
    <x v="0"/>
    <x v="3"/>
    <x v="1"/>
    <m/>
  </r>
  <r>
    <n v="307"/>
    <x v="307"/>
    <s v="David"/>
    <s v="Johnson"/>
    <x v="3"/>
    <x v="23"/>
    <s v="Pending"/>
    <s v="03/09/2020"/>
    <n v="81250.87"/>
    <s v="david.johnson@example.com"/>
    <n v="-9523668787"/>
    <x v="1"/>
    <b v="0"/>
    <d v="2020-03-09T00:00:00"/>
    <x v="3"/>
    <x v="1"/>
    <x v="1"/>
    <m/>
  </r>
  <r>
    <n v="308"/>
    <x v="308"/>
    <s v="Alice"/>
    <s v="Garcia"/>
    <x v="3"/>
    <x v="32"/>
    <s v="Inactive"/>
    <s v="6/17/2022"/>
    <n v="66403.75"/>
    <s v="alice.garcia@example.com"/>
    <n v="-7883619688"/>
    <x v="2"/>
    <b v="0"/>
    <d v="2022-06-17T00:00:00"/>
    <x v="0"/>
    <x v="1"/>
    <x v="0"/>
    <m/>
  </r>
  <r>
    <n v="309"/>
    <x v="309"/>
    <s v="Alice"/>
    <s v="Miller"/>
    <x v="3"/>
    <x v="24"/>
    <s v="Active"/>
    <s v="7/28/2024"/>
    <n v="114147.79"/>
    <s v="alice.miller@example.com"/>
    <n v="-3135030586"/>
    <x v="1"/>
    <b v="0"/>
    <d v="2024-07-28T00:00:00"/>
    <x v="4"/>
    <x v="0"/>
    <x v="2"/>
    <m/>
  </r>
  <r>
    <n v="310"/>
    <x v="310"/>
    <s v="Frank"/>
    <s v="Garcia"/>
    <x v="3"/>
    <x v="7"/>
    <s v="Pending"/>
    <s v="12/03/2022"/>
    <n v="65472.99"/>
    <s v="frank.garcia@example.com"/>
    <n v="-2105524727"/>
    <x v="2"/>
    <b v="0"/>
    <d v="2022-12-03T00:00:00"/>
    <x v="5"/>
    <x v="4"/>
    <x v="1"/>
    <m/>
  </r>
  <r>
    <n v="311"/>
    <x v="311"/>
    <s v="Alice"/>
    <s v="Davis"/>
    <x v="1"/>
    <x v="29"/>
    <s v="Active"/>
    <s v="07/06/2023"/>
    <n v="97512.51"/>
    <s v="alice.davis@example.com"/>
    <n v="-6333021259"/>
    <x v="2"/>
    <b v="1"/>
    <d v="2023-07-06T00:00:00"/>
    <x v="4"/>
    <x v="2"/>
    <x v="2"/>
    <m/>
  </r>
  <r>
    <n v="312"/>
    <x v="312"/>
    <s v="Alice"/>
    <s v="Brown"/>
    <x v="4"/>
    <x v="35"/>
    <s v="Inactive"/>
    <s v="5/28/2024"/>
    <n v="86712.41"/>
    <s v="alice.brown@example.com"/>
    <n v="-6501917919"/>
    <x v="0"/>
    <b v="1"/>
    <d v="2024-05-28T00:00:00"/>
    <x v="0"/>
    <x v="2"/>
    <x v="1"/>
    <m/>
  </r>
  <r>
    <n v="313"/>
    <x v="313"/>
    <s v="Grace"/>
    <s v="Davis"/>
    <x v="3"/>
    <x v="28"/>
    <s v="Active"/>
    <s v="3/25/2024"/>
    <n v="87654.98"/>
    <s v="grace.davis@example.com"/>
    <n v="-2521310961"/>
    <x v="3"/>
    <b v="0"/>
    <d v="2024-03-25T00:00:00"/>
    <x v="5"/>
    <x v="3"/>
    <x v="2"/>
    <m/>
  </r>
  <r>
    <n v="314"/>
    <x v="314"/>
    <s v="David"/>
    <s v="Williams"/>
    <x v="4"/>
    <x v="5"/>
    <s v="Inactive"/>
    <s v="4/28/2020"/>
    <n v="89367.02"/>
    <s v="david.williams@example.com"/>
    <n v="-2728476569"/>
    <x v="3"/>
    <b v="0"/>
    <d v="2020-04-28T00:00:00"/>
    <x v="0"/>
    <x v="4"/>
    <x v="1"/>
    <m/>
  </r>
  <r>
    <n v="315"/>
    <x v="315"/>
    <s v="Charlie"/>
    <s v="Garcia"/>
    <x v="2"/>
    <x v="19"/>
    <s v="Active"/>
    <s v="11/07/2021"/>
    <n v="95269.41"/>
    <s v="charlie.garcia@example.com"/>
    <n v="-4120092819"/>
    <x v="2"/>
    <b v="1"/>
    <d v="2021-11-07T00:00:00"/>
    <x v="2"/>
    <x v="0"/>
    <x v="2"/>
    <m/>
  </r>
  <r>
    <n v="316"/>
    <x v="316"/>
    <s v="Frank"/>
    <s v="Williams"/>
    <x v="0"/>
    <x v="29"/>
    <s v="Active"/>
    <s v="4/15/2020"/>
    <n v="68792.31"/>
    <s v="frank.williams@example.com"/>
    <n v="-6678498435"/>
    <x v="0"/>
    <b v="0"/>
    <d v="2020-04-15T00:00:00"/>
    <x v="4"/>
    <x v="2"/>
    <x v="1"/>
    <m/>
  </r>
  <r>
    <n v="317"/>
    <x v="317"/>
    <s v="Alice"/>
    <s v="Smith"/>
    <x v="0"/>
    <x v="12"/>
    <s v="Pending"/>
    <s v="10/07/2023"/>
    <n v="89119.53"/>
    <s v="alice.smith@example.com"/>
    <n v="-2418623689"/>
    <x v="2"/>
    <b v="1"/>
    <d v="2023-10-07T00:00:00"/>
    <x v="2"/>
    <x v="5"/>
    <x v="2"/>
    <m/>
  </r>
  <r>
    <n v="318"/>
    <x v="318"/>
    <s v="Frank"/>
    <s v="Davis"/>
    <x v="4"/>
    <x v="6"/>
    <s v="Active"/>
    <s v="2/27/2024"/>
    <n v="58212.13"/>
    <s v="frank.davis@example.com"/>
    <n v="-3628917755"/>
    <x v="2"/>
    <b v="0"/>
    <d v="2024-02-27T00:00:00"/>
    <x v="3"/>
    <x v="4"/>
    <x v="0"/>
    <m/>
  </r>
  <r>
    <n v="319"/>
    <x v="319"/>
    <s v="Heidi"/>
    <s v="Miller"/>
    <x v="3"/>
    <x v="10"/>
    <s v="Pending"/>
    <s v="2/22/2021"/>
    <n v="77764.240000000005"/>
    <s v="heidi.miller@example.com"/>
    <n v="-6205634110"/>
    <x v="2"/>
    <b v="1"/>
    <d v="2021-02-22T00:00:00"/>
    <x v="0"/>
    <x v="5"/>
    <x v="0"/>
    <m/>
  </r>
  <r>
    <n v="320"/>
    <x v="320"/>
    <s v="Frank"/>
    <s v="Garcia"/>
    <x v="4"/>
    <x v="18"/>
    <s v="Pending"/>
    <s v="8/21/2023"/>
    <n v="75148.17"/>
    <s v="frank.garcia@example.com"/>
    <n v="-5950342810"/>
    <x v="0"/>
    <b v="0"/>
    <d v="2023-08-21T00:00:00"/>
    <x v="1"/>
    <x v="3"/>
    <x v="1"/>
    <m/>
  </r>
  <r>
    <n v="321"/>
    <x v="321"/>
    <s v="Heidi"/>
    <s v="Jones"/>
    <x v="2"/>
    <x v="11"/>
    <s v="Inactive"/>
    <s v="04/08/2024"/>
    <n v="108781.18"/>
    <s v="heidi.jones@example.com"/>
    <n v="-3904383033"/>
    <x v="3"/>
    <b v="0"/>
    <d v="2024-04-08T00:00:00"/>
    <x v="3"/>
    <x v="2"/>
    <x v="1"/>
    <m/>
  </r>
  <r>
    <n v="322"/>
    <x v="322"/>
    <s v="Frank"/>
    <s v="Brown"/>
    <x v="4"/>
    <x v="1"/>
    <s v="Pending"/>
    <s v="11/04/2024"/>
    <n v="65489.19"/>
    <s v="frank.brown@example.com"/>
    <n v="-1990970050"/>
    <x v="0"/>
    <b v="1"/>
    <d v="2024-11-04T00:00:00"/>
    <x v="1"/>
    <x v="1"/>
    <x v="1"/>
    <m/>
  </r>
  <r>
    <n v="323"/>
    <x v="323"/>
    <s v="Eva"/>
    <s v="Johnson"/>
    <x v="1"/>
    <x v="14"/>
    <s v="Pending"/>
    <s v="05/05/2022"/>
    <n v="70663.460000000006"/>
    <s v="eva.johnson@example.com"/>
    <n v="-4054683564"/>
    <x v="1"/>
    <b v="0"/>
    <d v="2022-05-05T00:00:00"/>
    <x v="4"/>
    <x v="5"/>
    <x v="1"/>
    <m/>
  </r>
  <r>
    <n v="324"/>
    <x v="324"/>
    <s v="David"/>
    <s v="Miller"/>
    <x v="2"/>
    <x v="17"/>
    <s v="Inactive"/>
    <s v="02/01/2023"/>
    <n v="95822.56"/>
    <s v="david.miller@example.com"/>
    <n v="-2156818208"/>
    <x v="0"/>
    <b v="0"/>
    <d v="2023-02-01T00:00:00"/>
    <x v="4"/>
    <x v="4"/>
    <x v="2"/>
    <m/>
  </r>
  <r>
    <n v="325"/>
    <x v="325"/>
    <s v="Eva"/>
    <s v="Miller"/>
    <x v="2"/>
    <x v="35"/>
    <s v="Pending"/>
    <s v="10/01/2022"/>
    <n v="82258.03"/>
    <s v="eva.miller@example.com"/>
    <n v="-6790422710"/>
    <x v="0"/>
    <b v="1"/>
    <d v="2022-10-01T00:00:00"/>
    <x v="0"/>
    <x v="2"/>
    <x v="0"/>
    <m/>
  </r>
  <r>
    <n v="326"/>
    <x v="326"/>
    <s v="Frank"/>
    <s v="Williams"/>
    <x v="3"/>
    <x v="2"/>
    <s v="Pending"/>
    <s v="9/27/2022"/>
    <n v="62883.34"/>
    <s v="frank.williams@example.com"/>
    <n v="-3322889856"/>
    <x v="0"/>
    <b v="0"/>
    <d v="2022-09-27T00:00:00"/>
    <x v="2"/>
    <x v="2"/>
    <x v="1"/>
    <m/>
  </r>
  <r>
    <n v="327"/>
    <x v="327"/>
    <s v="Alice"/>
    <s v="Davis"/>
    <x v="1"/>
    <x v="23"/>
    <s v="Pending"/>
    <s v="04/09/2020"/>
    <n v="103503.72"/>
    <s v="alice.davis@example.com"/>
    <n v="-2545960632"/>
    <x v="0"/>
    <b v="1"/>
    <d v="2020-04-09T00:00:00"/>
    <x v="3"/>
    <x v="1"/>
    <x v="1"/>
    <m/>
  </r>
  <r>
    <n v="328"/>
    <x v="328"/>
    <s v="David"/>
    <s v="Garcia"/>
    <x v="0"/>
    <x v="5"/>
    <s v="Active"/>
    <s v="3/23/2021"/>
    <n v="85401.3"/>
    <s v="david.garcia@example.com"/>
    <n v="-9912971023"/>
    <x v="3"/>
    <b v="1"/>
    <d v="2021-03-23T00:00:00"/>
    <x v="0"/>
    <x v="4"/>
    <x v="1"/>
    <m/>
  </r>
  <r>
    <n v="329"/>
    <x v="329"/>
    <s v="Heidi"/>
    <s v="Garcia"/>
    <x v="2"/>
    <x v="23"/>
    <s v="Pending"/>
    <s v="02/03/2023"/>
    <n v="85165.05"/>
    <s v="heidi.garcia@example.com"/>
    <n v="-8171752420"/>
    <x v="1"/>
    <b v="0"/>
    <d v="2023-02-03T00:00:00"/>
    <x v="3"/>
    <x v="1"/>
    <x v="1"/>
    <m/>
  </r>
  <r>
    <n v="330"/>
    <x v="330"/>
    <s v="Eva"/>
    <s v="Smith"/>
    <x v="1"/>
    <x v="20"/>
    <s v="Pending"/>
    <s v="7/23/2024"/>
    <n v="98850.14"/>
    <s v="eva.smith@example.com"/>
    <n v="-4955112746"/>
    <x v="3"/>
    <b v="0"/>
    <d v="2024-07-23T00:00:00"/>
    <x v="5"/>
    <x v="1"/>
    <x v="2"/>
    <m/>
  </r>
  <r>
    <n v="331"/>
    <x v="331"/>
    <s v="Charlie"/>
    <s v="Smith"/>
    <x v="0"/>
    <x v="13"/>
    <s v="Active"/>
    <s v="05/08/2021"/>
    <n v="63435.24"/>
    <s v="charlie.smith@example.com"/>
    <n v="-4721970545"/>
    <x v="3"/>
    <b v="0"/>
    <d v="2021-05-08T00:00:00"/>
    <x v="3"/>
    <x v="5"/>
    <x v="0"/>
    <m/>
  </r>
  <r>
    <n v="332"/>
    <x v="332"/>
    <s v="Frank"/>
    <s v="Brown"/>
    <x v="4"/>
    <x v="1"/>
    <s v="Inactive"/>
    <s v="04/11/2022"/>
    <n v="82129.84"/>
    <s v="frank.brown@example.com"/>
    <n v="-6927589550"/>
    <x v="0"/>
    <b v="0"/>
    <d v="2022-04-11T00:00:00"/>
    <x v="1"/>
    <x v="1"/>
    <x v="1"/>
    <m/>
  </r>
  <r>
    <n v="333"/>
    <x v="333"/>
    <s v="David"/>
    <s v="Williams"/>
    <x v="4"/>
    <x v="32"/>
    <s v="Pending"/>
    <s v="10/23/2024"/>
    <n v="95492.61"/>
    <s v="david.williams@example.com"/>
    <n v="-6874090379"/>
    <x v="2"/>
    <b v="0"/>
    <d v="2024-10-23T00:00:00"/>
    <x v="0"/>
    <x v="1"/>
    <x v="1"/>
    <m/>
  </r>
  <r>
    <n v="334"/>
    <x v="334"/>
    <s v="Grace"/>
    <s v="Miller"/>
    <x v="2"/>
    <x v="33"/>
    <s v="Inactive"/>
    <s v="4/24/2020"/>
    <n v="94572.37"/>
    <s v="grace.miller@example.com"/>
    <n v="-2146296135"/>
    <x v="2"/>
    <b v="0"/>
    <d v="2020-04-24T00:00:00"/>
    <x v="1"/>
    <x v="5"/>
    <x v="1"/>
    <m/>
  </r>
  <r>
    <n v="335"/>
    <x v="335"/>
    <s v="Bob"/>
    <s v="Garcia"/>
    <x v="2"/>
    <x v="15"/>
    <s v="Inactive"/>
    <s v="03/04/2023"/>
    <n v="118413.05"/>
    <s v="bob.garcia@example.com"/>
    <n v="-7157787111"/>
    <x v="3"/>
    <b v="0"/>
    <d v="2023-03-04T00:00:00"/>
    <x v="1"/>
    <x v="2"/>
    <x v="2"/>
    <m/>
  </r>
  <r>
    <n v="336"/>
    <x v="336"/>
    <s v="Alice"/>
    <s v="Jones"/>
    <x v="3"/>
    <x v="2"/>
    <s v="Pending"/>
    <s v="8/31/2022"/>
    <n v="68976.649999999994"/>
    <s v="alice.jones@example.com"/>
    <n v="-1663651558"/>
    <x v="3"/>
    <b v="1"/>
    <d v="2022-08-31T00:00:00"/>
    <x v="2"/>
    <x v="2"/>
    <x v="1"/>
    <m/>
  </r>
  <r>
    <n v="337"/>
    <x v="337"/>
    <s v="Eva"/>
    <s v="Williams"/>
    <x v="1"/>
    <x v="29"/>
    <s v="Active"/>
    <s v="01/02/2021"/>
    <n v="115013.65"/>
    <s v="eva.williams@example.com"/>
    <n v="-7371470826"/>
    <x v="0"/>
    <b v="0"/>
    <d v="2021-01-02T00:00:00"/>
    <x v="4"/>
    <x v="2"/>
    <x v="2"/>
    <m/>
  </r>
  <r>
    <n v="338"/>
    <x v="338"/>
    <s v="David"/>
    <s v="Brown"/>
    <x v="1"/>
    <x v="2"/>
    <s v="Inactive"/>
    <s v="06/06/2020"/>
    <n v="70949.38"/>
    <s v="david.brown@example.com"/>
    <n v="-2359096055"/>
    <x v="3"/>
    <b v="1"/>
    <d v="2020-06-06T00:00:00"/>
    <x v="2"/>
    <x v="2"/>
    <x v="1"/>
    <m/>
  </r>
  <r>
    <n v="339"/>
    <x v="339"/>
    <s v="Grace"/>
    <s v="Brown"/>
    <x v="1"/>
    <x v="28"/>
    <s v="Pending"/>
    <s v="10/13/2020"/>
    <n v="105334.87"/>
    <s v="grace.brown@example.com"/>
    <n v="-7303064420"/>
    <x v="0"/>
    <b v="0"/>
    <d v="2020-10-13T00:00:00"/>
    <x v="5"/>
    <x v="3"/>
    <x v="2"/>
    <m/>
  </r>
  <r>
    <n v="340"/>
    <x v="340"/>
    <s v="Bob"/>
    <s v="Williams"/>
    <x v="1"/>
    <x v="0"/>
    <s v="Active"/>
    <s v="7/19/2020"/>
    <n v="80596.179999999993"/>
    <s v="bob.williams@example.com"/>
    <n v="-2146147682"/>
    <x v="2"/>
    <b v="0"/>
    <d v="2020-07-19T00:00:00"/>
    <x v="0"/>
    <x v="0"/>
    <x v="0"/>
    <m/>
  </r>
  <r>
    <n v="341"/>
    <x v="341"/>
    <s v="Frank"/>
    <s v="Brown"/>
    <x v="1"/>
    <x v="14"/>
    <s v="Inactive"/>
    <s v="05/03/2024"/>
    <n v="72846.37"/>
    <s v="frank.brown@example.com"/>
    <n v="-4201654234"/>
    <x v="2"/>
    <b v="1"/>
    <d v="2024-05-03T00:00:00"/>
    <x v="4"/>
    <x v="5"/>
    <x v="1"/>
    <m/>
  </r>
  <r>
    <n v="342"/>
    <x v="342"/>
    <s v="Heidi"/>
    <s v="Williams"/>
    <x v="2"/>
    <x v="19"/>
    <s v="Pending"/>
    <s v="02/07/2022"/>
    <n v="80229.36"/>
    <s v="heidi.williams@example.com"/>
    <n v="-6778265959"/>
    <x v="1"/>
    <b v="0"/>
    <d v="2022-02-07T00:00:00"/>
    <x v="2"/>
    <x v="0"/>
    <x v="2"/>
    <m/>
  </r>
  <r>
    <n v="343"/>
    <x v="343"/>
    <s v="Grace"/>
    <s v="Johnson"/>
    <x v="0"/>
    <x v="24"/>
    <s v="Active"/>
    <s v="12/31/2023"/>
    <n v="55145.47"/>
    <s v="grace.johnson@example.com"/>
    <n v="-8931992549"/>
    <x v="2"/>
    <b v="0"/>
    <d v="2023-12-31T00:00:00"/>
    <x v="4"/>
    <x v="0"/>
    <x v="1"/>
    <m/>
  </r>
  <r>
    <n v="344"/>
    <x v="344"/>
    <s v="Grace"/>
    <s v="Williams"/>
    <x v="3"/>
    <x v="31"/>
    <s v="Inactive"/>
    <s v="01/08/2022"/>
    <n v="85165.05"/>
    <s v="grace.williams@example.com"/>
    <n v="-2727516479"/>
    <x v="3"/>
    <b v="1"/>
    <d v="2022-01-08T00:00:00"/>
    <x v="0"/>
    <x v="3"/>
    <x v="1"/>
    <m/>
  </r>
  <r>
    <n v="345"/>
    <x v="345"/>
    <s v="Eva"/>
    <s v="Davis"/>
    <x v="2"/>
    <x v="21"/>
    <s v="Active"/>
    <s v="9/28/2020"/>
    <n v="56110.81"/>
    <s v="eva.davis@example.com"/>
    <n v="-7279103367"/>
    <x v="2"/>
    <b v="0"/>
    <d v="2020-09-28T00:00:00"/>
    <x v="5"/>
    <x v="0"/>
    <x v="1"/>
    <m/>
  </r>
  <r>
    <n v="346"/>
    <x v="346"/>
    <s v="Grace"/>
    <s v="Williams"/>
    <x v="0"/>
    <x v="23"/>
    <s v="Inactive"/>
    <s v="02/09/2023"/>
    <n v="56514.5"/>
    <s v="grace.williams@example.com"/>
    <n v="-2963533904"/>
    <x v="0"/>
    <b v="0"/>
    <d v="2023-02-09T00:00:00"/>
    <x v="3"/>
    <x v="1"/>
    <x v="0"/>
    <m/>
  </r>
  <r>
    <n v="347"/>
    <x v="347"/>
    <s v="Frank"/>
    <s v="Brown"/>
    <x v="2"/>
    <x v="34"/>
    <s v="Inactive"/>
    <s v="03/05/2022"/>
    <n v="104541.84"/>
    <s v="frank.brown@example.com"/>
    <n v="-5044817765"/>
    <x v="2"/>
    <b v="0"/>
    <d v="2022-03-05T00:00:00"/>
    <x v="3"/>
    <x v="0"/>
    <x v="1"/>
    <m/>
  </r>
  <r>
    <n v="348"/>
    <x v="348"/>
    <s v="David"/>
    <s v="Garcia"/>
    <x v="1"/>
    <x v="17"/>
    <s v="Pending"/>
    <s v="2/18/2022"/>
    <n v="61865.120000000003"/>
    <s v="david.garcia@example.com"/>
    <n v="-5586851275"/>
    <x v="1"/>
    <b v="1"/>
    <d v="2022-02-18T00:00:00"/>
    <x v="4"/>
    <x v="4"/>
    <x v="1"/>
    <m/>
  </r>
  <r>
    <n v="349"/>
    <x v="349"/>
    <s v="Eva"/>
    <s v="Davis"/>
    <x v="2"/>
    <x v="16"/>
    <s v="Active"/>
    <s v="06/09/2022"/>
    <n v="69317.33"/>
    <s v="eva.davis@example.com"/>
    <n v="-5289286645"/>
    <x v="2"/>
    <b v="0"/>
    <d v="2022-06-09T00:00:00"/>
    <x v="2"/>
    <x v="1"/>
    <x v="1"/>
    <m/>
  </r>
  <r>
    <n v="350"/>
    <x v="350"/>
    <s v="Bob"/>
    <s v="Brown"/>
    <x v="4"/>
    <x v="7"/>
    <s v="Pending"/>
    <s v="07/04/2023"/>
    <n v="84706.17"/>
    <s v="bob.brown@example.com"/>
    <n v="-4911110960"/>
    <x v="0"/>
    <b v="0"/>
    <d v="2023-07-04T00:00:00"/>
    <x v="5"/>
    <x v="4"/>
    <x v="1"/>
    <m/>
  </r>
  <r>
    <n v="351"/>
    <x v="351"/>
    <s v="Heidi"/>
    <s v="Smith"/>
    <x v="0"/>
    <x v="19"/>
    <s v="Active"/>
    <s v="3/21/2022"/>
    <n v="73255.210000000006"/>
    <s v="heidi.smith@example.com"/>
    <n v="-7981789045"/>
    <x v="0"/>
    <b v="0"/>
    <d v="2022-03-21T00:00:00"/>
    <x v="2"/>
    <x v="0"/>
    <x v="1"/>
    <m/>
  </r>
  <r>
    <n v="352"/>
    <x v="352"/>
    <s v="Frank"/>
    <s v="Smith"/>
    <x v="2"/>
    <x v="28"/>
    <s v="Pending"/>
    <s v="05/02/2023"/>
    <n v="59528.71"/>
    <s v="frank.smith@example.com"/>
    <n v="-3378613714"/>
    <x v="3"/>
    <b v="0"/>
    <d v="2023-05-02T00:00:00"/>
    <x v="5"/>
    <x v="3"/>
    <x v="1"/>
    <m/>
  </r>
  <r>
    <n v="353"/>
    <x v="353"/>
    <s v="David"/>
    <s v="Garcia"/>
    <x v="2"/>
    <x v="7"/>
    <s v="Inactive"/>
    <s v="10/15/2021"/>
    <n v="70401.37"/>
    <s v="david.garcia@example.com"/>
    <n v="-7660538443"/>
    <x v="2"/>
    <b v="1"/>
    <d v="2021-10-15T00:00:00"/>
    <x v="5"/>
    <x v="4"/>
    <x v="1"/>
    <m/>
  </r>
  <r>
    <n v="354"/>
    <x v="354"/>
    <s v="Heidi"/>
    <s v="Garcia"/>
    <x v="1"/>
    <x v="19"/>
    <s v="Inactive"/>
    <s v="7/28/2021"/>
    <n v="107154.62"/>
    <s v="heidi.garcia@example.com"/>
    <n v="-4630600024"/>
    <x v="0"/>
    <b v="1"/>
    <d v="2021-07-28T00:00:00"/>
    <x v="2"/>
    <x v="0"/>
    <x v="2"/>
    <m/>
  </r>
  <r>
    <n v="355"/>
    <x v="355"/>
    <s v="Bob"/>
    <s v="Davis"/>
    <x v="1"/>
    <x v="12"/>
    <s v="Pending"/>
    <s v="01/03/2021"/>
    <n v="97719.88"/>
    <s v="bob.davis@example.com"/>
    <n v="-8955296385"/>
    <x v="1"/>
    <b v="0"/>
    <d v="2021-01-03T00:00:00"/>
    <x v="2"/>
    <x v="5"/>
    <x v="2"/>
    <m/>
  </r>
  <r>
    <n v="356"/>
    <x v="356"/>
    <s v="Heidi"/>
    <s v="Johnson"/>
    <x v="3"/>
    <x v="8"/>
    <s v="Pending"/>
    <s v="5/21/2020"/>
    <n v="107327.59"/>
    <s v="heidi.johnson@example.com"/>
    <n v="-3960962625"/>
    <x v="3"/>
    <b v="0"/>
    <d v="2020-05-21T00:00:00"/>
    <x v="1"/>
    <x v="0"/>
    <x v="2"/>
    <m/>
  </r>
  <r>
    <n v="357"/>
    <x v="357"/>
    <s v="Grace"/>
    <s v="Garcia"/>
    <x v="2"/>
    <x v="2"/>
    <s v="Inactive"/>
    <s v="05/10/2021"/>
    <n v="67687.72"/>
    <s v="grace.garcia@example.com"/>
    <n v="-5826312818"/>
    <x v="1"/>
    <b v="1"/>
    <d v="2021-05-10T00:00:00"/>
    <x v="2"/>
    <x v="2"/>
    <x v="1"/>
    <m/>
  </r>
  <r>
    <n v="358"/>
    <x v="358"/>
    <s v="Grace"/>
    <s v="Smith"/>
    <x v="2"/>
    <x v="3"/>
    <s v="Pending"/>
    <s v="09/08/2022"/>
    <n v="90757.08"/>
    <s v="grace.smith@example.com"/>
    <n v="-6482531105"/>
    <x v="2"/>
    <b v="1"/>
    <d v="2022-09-08T00:00:00"/>
    <x v="3"/>
    <x v="3"/>
    <x v="1"/>
    <m/>
  </r>
  <r>
    <n v="359"/>
    <x v="359"/>
    <s v="Grace"/>
    <s v="Williams"/>
    <x v="1"/>
    <x v="34"/>
    <s v="Pending"/>
    <s v="7/21/2024"/>
    <n v="87583.42"/>
    <s v="grace.williams@example.com"/>
    <n v="-920981959"/>
    <x v="2"/>
    <b v="0"/>
    <d v="2024-07-21T00:00:00"/>
    <x v="3"/>
    <x v="0"/>
    <x v="1"/>
    <m/>
  </r>
  <r>
    <n v="360"/>
    <x v="360"/>
    <s v="Bob"/>
    <s v="Brown"/>
    <x v="0"/>
    <x v="2"/>
    <s v="Pending"/>
    <s v="12/28/2021"/>
    <n v="61643.69"/>
    <s v="bob.brown@example.com"/>
    <n v="-2752334382"/>
    <x v="2"/>
    <b v="1"/>
    <d v="2021-12-28T00:00:00"/>
    <x v="2"/>
    <x v="2"/>
    <x v="1"/>
    <m/>
  </r>
  <r>
    <n v="361"/>
    <x v="361"/>
    <s v="Grace"/>
    <s v="Smith"/>
    <x v="4"/>
    <x v="1"/>
    <s v="Active"/>
    <s v="7/20/2020"/>
    <n v="68111.69"/>
    <s v="grace.smith@example.com"/>
    <n v="-6404120910"/>
    <x v="3"/>
    <b v="0"/>
    <d v="2020-07-20T00:00:00"/>
    <x v="1"/>
    <x v="1"/>
    <x v="1"/>
    <m/>
  </r>
  <r>
    <n v="362"/>
    <x v="362"/>
    <s v="David"/>
    <s v="Smith"/>
    <x v="2"/>
    <x v="28"/>
    <s v="Inactive"/>
    <s v="4/30/2024"/>
    <n v="97568.88"/>
    <s v="david.smith@example.com"/>
    <n v="-7911244210"/>
    <x v="0"/>
    <b v="1"/>
    <d v="2024-04-30T00:00:00"/>
    <x v="5"/>
    <x v="3"/>
    <x v="2"/>
    <m/>
  </r>
  <r>
    <n v="363"/>
    <x v="363"/>
    <s v="Charlie"/>
    <s v="Johnson"/>
    <x v="4"/>
    <x v="3"/>
    <s v="Active"/>
    <s v="8/28/2021"/>
    <n v="79118.28"/>
    <s v="charlie.johnson@example.com"/>
    <n v="-7536170616"/>
    <x v="3"/>
    <b v="1"/>
    <d v="2021-08-28T00:00:00"/>
    <x v="3"/>
    <x v="3"/>
    <x v="0"/>
    <m/>
  </r>
  <r>
    <n v="364"/>
    <x v="364"/>
    <s v="Bob"/>
    <s v="Davis"/>
    <x v="3"/>
    <x v="21"/>
    <s v="Inactive"/>
    <s v="7/21/2022"/>
    <n v="104898.9"/>
    <s v="bob.davis@example.com"/>
    <n v="-1366572239"/>
    <x v="1"/>
    <b v="1"/>
    <d v="2022-07-21T00:00:00"/>
    <x v="5"/>
    <x v="0"/>
    <x v="2"/>
    <m/>
  </r>
  <r>
    <n v="365"/>
    <x v="365"/>
    <s v="Frank"/>
    <s v="Davis"/>
    <x v="2"/>
    <x v="3"/>
    <s v="Pending"/>
    <s v="11/27/2023"/>
    <n v="81671.3"/>
    <s v="frank.davis@example.com"/>
    <n v="-2990155798"/>
    <x v="3"/>
    <b v="1"/>
    <d v="2023-11-27T00:00:00"/>
    <x v="3"/>
    <x v="3"/>
    <x v="1"/>
    <m/>
  </r>
  <r>
    <n v="366"/>
    <x v="366"/>
    <s v="Alice"/>
    <s v="Miller"/>
    <x v="0"/>
    <x v="34"/>
    <s v="Pending"/>
    <s v="08/11/2020"/>
    <n v="97399.75"/>
    <s v="alice.miller@example.com"/>
    <n v="-8028413907"/>
    <x v="1"/>
    <b v="0"/>
    <d v="2020-08-11T00:00:00"/>
    <x v="3"/>
    <x v="0"/>
    <x v="1"/>
    <m/>
  </r>
  <r>
    <n v="367"/>
    <x v="367"/>
    <s v="David"/>
    <s v="Johnson"/>
    <x v="1"/>
    <x v="12"/>
    <s v="Active"/>
    <s v="11/08/2021"/>
    <n v="89189.43"/>
    <s v="david.johnson@example.com"/>
    <n v="-882351304"/>
    <x v="3"/>
    <b v="1"/>
    <d v="2021-11-08T00:00:00"/>
    <x v="2"/>
    <x v="5"/>
    <x v="2"/>
    <m/>
  </r>
  <r>
    <n v="368"/>
    <x v="368"/>
    <s v="David"/>
    <s v="Williams"/>
    <x v="2"/>
    <x v="5"/>
    <s v="Active"/>
    <s v="08/04/2023"/>
    <n v="96011.55"/>
    <s v="david.williams@example.com"/>
    <n v="-2312447314"/>
    <x v="0"/>
    <b v="1"/>
    <d v="2023-08-04T00:00:00"/>
    <x v="0"/>
    <x v="4"/>
    <x v="1"/>
    <m/>
  </r>
  <r>
    <n v="369"/>
    <x v="369"/>
    <s v="David"/>
    <s v="Davis"/>
    <x v="2"/>
    <x v="9"/>
    <s v="Inactive"/>
    <s v="01/10/2020"/>
    <n v="99331.49"/>
    <s v="david.davis@example.com"/>
    <n v="-8477686341"/>
    <x v="1"/>
    <b v="0"/>
    <d v="2020-01-10T00:00:00"/>
    <x v="4"/>
    <x v="3"/>
    <x v="2"/>
    <m/>
  </r>
  <r>
    <n v="370"/>
    <x v="370"/>
    <s v="Bob"/>
    <s v="Brown"/>
    <x v="1"/>
    <x v="13"/>
    <s v="Active"/>
    <s v="1/19/2022"/>
    <n v="72818.94"/>
    <s v="bob.brown@example.com"/>
    <n v="-3461994236"/>
    <x v="2"/>
    <b v="1"/>
    <d v="2022-01-19T00:00:00"/>
    <x v="3"/>
    <x v="5"/>
    <x v="0"/>
    <m/>
  </r>
  <r>
    <n v="371"/>
    <x v="371"/>
    <s v="Eva"/>
    <s v="Garcia"/>
    <x v="2"/>
    <x v="29"/>
    <s v="Inactive"/>
    <s v="05/07/2023"/>
    <n v="77204.75"/>
    <s v="eva.garcia@example.com"/>
    <n v="-6769459195"/>
    <x v="2"/>
    <b v="1"/>
    <d v="2023-05-07T00:00:00"/>
    <x v="4"/>
    <x v="2"/>
    <x v="1"/>
    <m/>
  </r>
  <r>
    <n v="372"/>
    <x v="372"/>
    <s v="Bob"/>
    <s v="Johnson"/>
    <x v="4"/>
    <x v="28"/>
    <s v="Pending"/>
    <s v="12/19/2020"/>
    <n v="106961.68"/>
    <s v="bob.johnson@example.com"/>
    <n v="-6395517207"/>
    <x v="3"/>
    <b v="0"/>
    <d v="2020-12-19T00:00:00"/>
    <x v="5"/>
    <x v="3"/>
    <x v="2"/>
    <m/>
  </r>
  <r>
    <n v="373"/>
    <x v="373"/>
    <s v="Eva"/>
    <s v="Garcia"/>
    <x v="1"/>
    <x v="4"/>
    <s v="Pending"/>
    <s v="10/01/2020"/>
    <n v="71923"/>
    <s v="eva.garcia@example.com"/>
    <n v="-4964985600"/>
    <x v="2"/>
    <b v="1"/>
    <d v="2020-10-01T00:00:00"/>
    <x v="4"/>
    <x v="1"/>
    <x v="1"/>
    <m/>
  </r>
  <r>
    <n v="374"/>
    <x v="374"/>
    <s v="Bob"/>
    <s v="Smith"/>
    <x v="3"/>
    <x v="22"/>
    <s v="Active"/>
    <s v="11/12/2022"/>
    <n v="77192.429999999993"/>
    <s v="bob.smith@example.com"/>
    <n v="-2562531354"/>
    <x v="1"/>
    <b v="0"/>
    <d v="2022-11-12T00:00:00"/>
    <x v="5"/>
    <x v="2"/>
    <x v="1"/>
    <m/>
  </r>
  <r>
    <n v="375"/>
    <x v="375"/>
    <s v="Grace"/>
    <s v="Brown"/>
    <x v="2"/>
    <x v="27"/>
    <s v="Pending"/>
    <s v="01/05/2023"/>
    <n v="98540.3"/>
    <s v="grace.brown@example.com"/>
    <n v="-2510505378"/>
    <x v="2"/>
    <b v="0"/>
    <d v="2023-01-05T00:00:00"/>
    <x v="2"/>
    <x v="3"/>
    <x v="2"/>
    <m/>
  </r>
  <r>
    <n v="376"/>
    <x v="376"/>
    <s v="Charlie"/>
    <s v="Brown"/>
    <x v="1"/>
    <x v="27"/>
    <s v="Inactive"/>
    <s v="10/14/2020"/>
    <n v="63096.9"/>
    <s v="charlie.brown@example.com"/>
    <n v="-5381649382"/>
    <x v="0"/>
    <b v="0"/>
    <d v="2020-10-14T00:00:00"/>
    <x v="2"/>
    <x v="3"/>
    <x v="1"/>
    <m/>
  </r>
  <r>
    <n v="377"/>
    <x v="377"/>
    <s v="Alice"/>
    <s v="Smith"/>
    <x v="4"/>
    <x v="3"/>
    <s v="Active"/>
    <s v="02/03/2021"/>
    <n v="107065.12"/>
    <s v="alice.smith@example.com"/>
    <n v="-1849196654"/>
    <x v="0"/>
    <b v="0"/>
    <d v="2021-02-03T00:00:00"/>
    <x v="3"/>
    <x v="3"/>
    <x v="1"/>
    <m/>
  </r>
  <r>
    <n v="378"/>
    <x v="378"/>
    <s v="Heidi"/>
    <s v="Johnson"/>
    <x v="2"/>
    <x v="31"/>
    <s v="Inactive"/>
    <s v="12/25/2023"/>
    <n v="108792.43"/>
    <s v="heidi.johnson@example.com"/>
    <n v="-3307704610"/>
    <x v="3"/>
    <b v="1"/>
    <d v="2023-12-25T00:00:00"/>
    <x v="0"/>
    <x v="3"/>
    <x v="1"/>
    <m/>
  </r>
  <r>
    <n v="379"/>
    <x v="379"/>
    <s v="Bob"/>
    <s v="Smith"/>
    <x v="1"/>
    <x v="6"/>
    <s v="Inactive"/>
    <s v="03/07/2020"/>
    <n v="69239.7"/>
    <s v="bob.smith@example.com"/>
    <n v="-7295963903"/>
    <x v="1"/>
    <b v="0"/>
    <d v="2020-03-07T00:00:00"/>
    <x v="3"/>
    <x v="4"/>
    <x v="0"/>
    <m/>
  </r>
  <r>
    <n v="380"/>
    <x v="380"/>
    <s v="Charlie"/>
    <s v="Garcia"/>
    <x v="2"/>
    <x v="29"/>
    <s v="Inactive"/>
    <s v="1/30/2023"/>
    <n v="85756.42"/>
    <s v="charlie.garcia@example.com"/>
    <n v="-907426087"/>
    <x v="0"/>
    <b v="1"/>
    <d v="2023-01-30T00:00:00"/>
    <x v="4"/>
    <x v="2"/>
    <x v="1"/>
    <m/>
  </r>
  <r>
    <n v="381"/>
    <x v="381"/>
    <s v="Eva"/>
    <s v="Miller"/>
    <x v="1"/>
    <x v="25"/>
    <s v="Active"/>
    <s v="04/05/2024"/>
    <n v="100328.62"/>
    <s v="eva.miller@example.com"/>
    <n v="-501716444"/>
    <x v="0"/>
    <b v="1"/>
    <d v="2024-04-05T00:00:00"/>
    <x v="5"/>
    <x v="5"/>
    <x v="2"/>
    <m/>
  </r>
  <r>
    <n v="382"/>
    <x v="382"/>
    <s v="Grace"/>
    <s v="Brown"/>
    <x v="0"/>
    <x v="35"/>
    <s v="Active"/>
    <s v="09/01/2021"/>
    <n v="111236.69"/>
    <s v="grace.brown@example.com"/>
    <n v="-5618579063"/>
    <x v="1"/>
    <b v="1"/>
    <d v="2021-09-01T00:00:00"/>
    <x v="0"/>
    <x v="2"/>
    <x v="1"/>
    <m/>
  </r>
  <r>
    <n v="383"/>
    <x v="383"/>
    <s v="Eva"/>
    <s v="Jones"/>
    <x v="4"/>
    <x v="3"/>
    <s v="Active"/>
    <s v="05/07/2024"/>
    <n v="106832.22"/>
    <s v="eva.jones@example.com"/>
    <n v="-7715910299"/>
    <x v="2"/>
    <b v="1"/>
    <d v="2024-05-07T00:00:00"/>
    <x v="3"/>
    <x v="3"/>
    <x v="1"/>
    <m/>
  </r>
  <r>
    <n v="384"/>
    <x v="384"/>
    <s v="Frank"/>
    <s v="Jones"/>
    <x v="1"/>
    <x v="31"/>
    <s v="Active"/>
    <s v="6/15/2023"/>
    <n v="59746.45"/>
    <s v="frank.jones@example.com"/>
    <n v="-2156321357"/>
    <x v="2"/>
    <b v="1"/>
    <d v="2023-06-15T00:00:00"/>
    <x v="0"/>
    <x v="3"/>
    <x v="0"/>
    <m/>
  </r>
  <r>
    <n v="385"/>
    <x v="385"/>
    <s v="David"/>
    <s v="Garcia"/>
    <x v="0"/>
    <x v="24"/>
    <s v="Pending"/>
    <s v="7/29/2021"/>
    <n v="91780.04"/>
    <s v="david.garcia@example.com"/>
    <n v="-40104144"/>
    <x v="3"/>
    <b v="1"/>
    <d v="2021-07-29T00:00:00"/>
    <x v="4"/>
    <x v="0"/>
    <x v="1"/>
    <m/>
  </r>
  <r>
    <n v="386"/>
    <x v="386"/>
    <s v="Eva"/>
    <s v="Williams"/>
    <x v="4"/>
    <x v="24"/>
    <s v="Pending"/>
    <s v="10/23/2023"/>
    <n v="107062.66"/>
    <s v="eva.williams@example.com"/>
    <n v="-9642297124"/>
    <x v="2"/>
    <b v="1"/>
    <d v="2023-10-23T00:00:00"/>
    <x v="4"/>
    <x v="0"/>
    <x v="2"/>
    <m/>
  </r>
  <r>
    <n v="387"/>
    <x v="387"/>
    <s v="Grace"/>
    <s v="Davis"/>
    <x v="0"/>
    <x v="22"/>
    <s v="Active"/>
    <s v="12/07/2023"/>
    <n v="110625.52"/>
    <s v="grace.davis@example.com"/>
    <n v="-2967188396"/>
    <x v="1"/>
    <b v="1"/>
    <d v="2023-12-07T00:00:00"/>
    <x v="5"/>
    <x v="2"/>
    <x v="2"/>
    <m/>
  </r>
  <r>
    <n v="388"/>
    <x v="388"/>
    <s v="Frank"/>
    <s v="Smith"/>
    <x v="3"/>
    <x v="31"/>
    <s v="Inactive"/>
    <s v="10/18/2020"/>
    <n v="90419.79"/>
    <s v="frank.smith@example.com"/>
    <n v="-7457314414"/>
    <x v="0"/>
    <b v="1"/>
    <d v="2020-10-18T00:00:00"/>
    <x v="0"/>
    <x v="3"/>
    <x v="1"/>
    <m/>
  </r>
  <r>
    <n v="389"/>
    <x v="389"/>
    <s v="Grace"/>
    <s v="Smith"/>
    <x v="2"/>
    <x v="1"/>
    <s v="Pending"/>
    <s v="6/15/2024"/>
    <n v="111608.76"/>
    <s v="grace.smith@example.com"/>
    <n v="-8331170302"/>
    <x v="2"/>
    <b v="1"/>
    <d v="2024-06-15T00:00:00"/>
    <x v="1"/>
    <x v="1"/>
    <x v="2"/>
    <m/>
  </r>
  <r>
    <n v="390"/>
    <x v="390"/>
    <s v="Eva"/>
    <s v="Williams"/>
    <x v="4"/>
    <x v="18"/>
    <s v="Inactive"/>
    <s v="04/06/2023"/>
    <n v="50173.120000000003"/>
    <s v="eva.williams@example.com"/>
    <n v="-7637153987"/>
    <x v="3"/>
    <b v="0"/>
    <d v="2023-04-06T00:00:00"/>
    <x v="1"/>
    <x v="3"/>
    <x v="0"/>
    <m/>
  </r>
  <r>
    <n v="391"/>
    <x v="391"/>
    <s v="Bob"/>
    <s v="Williams"/>
    <x v="2"/>
    <x v="35"/>
    <s v="Pending"/>
    <s v="01/03/2022"/>
    <n v="109507.44"/>
    <s v="bob.williams@example.com"/>
    <n v="-5472812355"/>
    <x v="2"/>
    <b v="0"/>
    <d v="2022-01-03T00:00:00"/>
    <x v="0"/>
    <x v="2"/>
    <x v="1"/>
    <m/>
  </r>
  <r>
    <n v="392"/>
    <x v="392"/>
    <s v="Grace"/>
    <s v="Garcia"/>
    <x v="3"/>
    <x v="30"/>
    <s v="Inactive"/>
    <s v="07/03/2021"/>
    <n v="72600.56"/>
    <s v="grace.garcia@example.com"/>
    <n v="-7983631461"/>
    <x v="1"/>
    <b v="0"/>
    <d v="2021-07-03T00:00:00"/>
    <x v="1"/>
    <x v="4"/>
    <x v="1"/>
    <m/>
  </r>
  <r>
    <n v="393"/>
    <x v="393"/>
    <s v="Charlie"/>
    <s v="Garcia"/>
    <x v="1"/>
    <x v="8"/>
    <s v="Pending"/>
    <s v="04/10/2024"/>
    <n v="53388.65"/>
    <s v="charlie.garcia@example.com"/>
    <n v="-4912711306"/>
    <x v="3"/>
    <b v="1"/>
    <d v="2024-04-10T00:00:00"/>
    <x v="1"/>
    <x v="0"/>
    <x v="0"/>
    <m/>
  </r>
  <r>
    <n v="394"/>
    <x v="394"/>
    <s v="Heidi"/>
    <s v="Williams"/>
    <x v="0"/>
    <x v="6"/>
    <s v="Inactive"/>
    <s v="7/23/2022"/>
    <n v="50047.32"/>
    <s v="heidi.williams@example.com"/>
    <n v="-2407875417"/>
    <x v="2"/>
    <b v="0"/>
    <d v="2022-07-23T00:00:00"/>
    <x v="3"/>
    <x v="4"/>
    <x v="0"/>
    <m/>
  </r>
  <r>
    <n v="395"/>
    <x v="395"/>
    <s v="David"/>
    <s v="Brown"/>
    <x v="3"/>
    <x v="0"/>
    <s v="Active"/>
    <s v="11/25/2024"/>
    <n v="115290.79"/>
    <s v="david.brown@example.com"/>
    <n v="-1563268684"/>
    <x v="3"/>
    <b v="0"/>
    <d v="2024-11-25T00:00:00"/>
    <x v="0"/>
    <x v="0"/>
    <x v="1"/>
    <m/>
  </r>
  <r>
    <n v="396"/>
    <x v="396"/>
    <s v="Frank"/>
    <s v="Garcia"/>
    <x v="4"/>
    <x v="34"/>
    <s v="Pending"/>
    <s v="8/21/2023"/>
    <n v="61586.76"/>
    <s v="frank.garcia@example.com"/>
    <n v="-745106633"/>
    <x v="1"/>
    <b v="0"/>
    <d v="2023-08-21T00:00:00"/>
    <x v="3"/>
    <x v="0"/>
    <x v="0"/>
    <m/>
  </r>
  <r>
    <n v="397"/>
    <x v="397"/>
    <s v="Eva"/>
    <s v="Miller"/>
    <x v="3"/>
    <x v="15"/>
    <s v="Active"/>
    <s v="12/12/2023"/>
    <n v="56662.86"/>
    <s v="eva.miller@example.com"/>
    <n v="-3629489785"/>
    <x v="0"/>
    <b v="1"/>
    <d v="2023-12-12T00:00:00"/>
    <x v="1"/>
    <x v="2"/>
    <x v="0"/>
    <m/>
  </r>
  <r>
    <n v="398"/>
    <x v="398"/>
    <s v="Bob"/>
    <s v="Garcia"/>
    <x v="3"/>
    <x v="17"/>
    <s v="Pending"/>
    <s v="10/24/2023"/>
    <n v="85165.05"/>
    <s v="bob.garcia@example.com"/>
    <n v="-1031310093"/>
    <x v="1"/>
    <b v="1"/>
    <d v="2023-10-24T00:00:00"/>
    <x v="4"/>
    <x v="4"/>
    <x v="1"/>
    <m/>
  </r>
  <r>
    <n v="399"/>
    <x v="399"/>
    <s v="Frank"/>
    <s v="Smith"/>
    <x v="0"/>
    <x v="15"/>
    <s v="Active"/>
    <s v="09/05/2022"/>
    <n v="54957.98"/>
    <s v="frank.smith@example.com"/>
    <n v="-3181439665"/>
    <x v="1"/>
    <b v="1"/>
    <d v="2022-09-05T00:00:00"/>
    <x v="1"/>
    <x v="2"/>
    <x v="0"/>
    <m/>
  </r>
  <r>
    <n v="400"/>
    <x v="400"/>
    <s v="Bob"/>
    <s v="Garcia"/>
    <x v="0"/>
    <x v="21"/>
    <s v="Inactive"/>
    <s v="10/07/2020"/>
    <n v="76790.47"/>
    <s v="bob.garcia@example.com"/>
    <n v="-1347323548"/>
    <x v="1"/>
    <b v="1"/>
    <d v="2020-10-07T00:00:00"/>
    <x v="5"/>
    <x v="0"/>
    <x v="1"/>
    <m/>
  </r>
  <r>
    <n v="401"/>
    <x v="401"/>
    <s v="Charlie"/>
    <s v="Brown"/>
    <x v="3"/>
    <x v="13"/>
    <s v="Pending"/>
    <s v="1/18/2020"/>
    <n v="92722.35"/>
    <s v="charlie.brown@example.com"/>
    <n v="-4012897431"/>
    <x v="1"/>
    <b v="0"/>
    <d v="2020-01-18T00:00:00"/>
    <x v="3"/>
    <x v="5"/>
    <x v="1"/>
    <m/>
  </r>
  <r>
    <n v="402"/>
    <x v="402"/>
    <s v="Frank"/>
    <s v="Williams"/>
    <x v="3"/>
    <x v="35"/>
    <s v="Active"/>
    <s v="4/23/2022"/>
    <n v="93125.32"/>
    <s v="frank.williams@example.com"/>
    <n v="-5122572075"/>
    <x v="0"/>
    <b v="0"/>
    <d v="2022-04-23T00:00:00"/>
    <x v="0"/>
    <x v="2"/>
    <x v="1"/>
    <m/>
  </r>
  <r>
    <n v="403"/>
    <x v="403"/>
    <s v="David"/>
    <s v="Smith"/>
    <x v="0"/>
    <x v="6"/>
    <s v="Active"/>
    <s v="4/22/2023"/>
    <n v="101100.64"/>
    <s v="david.smith@example.com"/>
    <n v="-5024120956"/>
    <x v="0"/>
    <b v="0"/>
    <d v="2023-04-22T00:00:00"/>
    <x v="3"/>
    <x v="4"/>
    <x v="1"/>
    <m/>
  </r>
  <r>
    <n v="404"/>
    <x v="404"/>
    <s v="Grace"/>
    <s v="Garcia"/>
    <x v="4"/>
    <x v="26"/>
    <s v="Inactive"/>
    <s v="8/13/2023"/>
    <n v="55897.41"/>
    <s v="grace.garcia@example.com"/>
    <n v="-9073710093"/>
    <x v="3"/>
    <b v="0"/>
    <d v="2023-08-13T00:00:00"/>
    <x v="2"/>
    <x v="4"/>
    <x v="1"/>
    <m/>
  </r>
  <r>
    <n v="405"/>
    <x v="405"/>
    <s v="Eva"/>
    <s v="Brown"/>
    <x v="0"/>
    <x v="0"/>
    <s v="Active"/>
    <s v="11/26/2022"/>
    <n v="92484.88"/>
    <s v="eva.brown@example.com"/>
    <n v="-3882211456"/>
    <x v="2"/>
    <b v="1"/>
    <d v="2022-11-26T00:00:00"/>
    <x v="0"/>
    <x v="0"/>
    <x v="1"/>
    <m/>
  </r>
  <r>
    <n v="406"/>
    <x v="406"/>
    <s v="Grace"/>
    <s v="Miller"/>
    <x v="4"/>
    <x v="32"/>
    <s v="Active"/>
    <s v="10/10/2022"/>
    <n v="77011.990000000005"/>
    <s v="grace.miller@example.com"/>
    <n v="-7584745704"/>
    <x v="0"/>
    <b v="1"/>
    <d v="2022-10-10T00:00:00"/>
    <x v="0"/>
    <x v="1"/>
    <x v="0"/>
    <m/>
  </r>
  <r>
    <n v="407"/>
    <x v="407"/>
    <s v="Bob"/>
    <s v="Garcia"/>
    <x v="1"/>
    <x v="34"/>
    <s v="Inactive"/>
    <s v="9/27/2020"/>
    <n v="77078.679999999993"/>
    <s v="bob.garcia@example.com"/>
    <n v="-4589714801"/>
    <x v="0"/>
    <b v="1"/>
    <d v="2020-09-27T00:00:00"/>
    <x v="3"/>
    <x v="0"/>
    <x v="0"/>
    <m/>
  </r>
  <r>
    <n v="408"/>
    <x v="408"/>
    <s v="Grace"/>
    <s v="Brown"/>
    <x v="4"/>
    <x v="29"/>
    <s v="Active"/>
    <s v="04/11/2024"/>
    <n v="82971.02"/>
    <s v="grace.brown@example.com"/>
    <n v="-6325703964"/>
    <x v="2"/>
    <b v="0"/>
    <d v="2024-04-11T00:00:00"/>
    <x v="4"/>
    <x v="2"/>
    <x v="1"/>
    <m/>
  </r>
  <r>
    <n v="409"/>
    <x v="409"/>
    <s v="Bob"/>
    <s v="Miller"/>
    <x v="0"/>
    <x v="4"/>
    <s v="Active"/>
    <s v="6/20/2021"/>
    <n v="65102.01"/>
    <s v="bob.miller@example.com"/>
    <n v="-3136148781"/>
    <x v="0"/>
    <b v="1"/>
    <d v="2021-06-20T00:00:00"/>
    <x v="4"/>
    <x v="1"/>
    <x v="1"/>
    <m/>
  </r>
  <r>
    <n v="410"/>
    <x v="410"/>
    <s v="Grace"/>
    <s v="Williams"/>
    <x v="1"/>
    <x v="22"/>
    <s v="Pending"/>
    <s v="10/23/2022"/>
    <n v="103697.7"/>
    <s v="grace.williams@example.com"/>
    <n v="-4556964429"/>
    <x v="1"/>
    <b v="1"/>
    <d v="2022-10-23T00:00:00"/>
    <x v="5"/>
    <x v="2"/>
    <x v="2"/>
    <m/>
  </r>
  <r>
    <n v="411"/>
    <x v="411"/>
    <s v="Grace"/>
    <s v="Garcia"/>
    <x v="0"/>
    <x v="10"/>
    <s v="Pending"/>
    <s v="6/15/2023"/>
    <n v="60687.63"/>
    <s v="grace.garcia@example.com"/>
    <n v="-9859167953"/>
    <x v="1"/>
    <b v="0"/>
    <d v="2023-06-15T00:00:00"/>
    <x v="0"/>
    <x v="5"/>
    <x v="0"/>
    <m/>
  </r>
  <r>
    <n v="412"/>
    <x v="412"/>
    <s v="Bob"/>
    <s v="Miller"/>
    <x v="1"/>
    <x v="26"/>
    <s v="Pending"/>
    <s v="10/31/2021"/>
    <n v="77351.210000000006"/>
    <s v="bob.miller@example.com"/>
    <n v="-1072728497"/>
    <x v="2"/>
    <b v="0"/>
    <d v="2021-10-31T00:00:00"/>
    <x v="2"/>
    <x v="4"/>
    <x v="2"/>
    <m/>
  </r>
  <r>
    <n v="413"/>
    <x v="413"/>
    <s v="Bob"/>
    <s v="Smith"/>
    <x v="4"/>
    <x v="31"/>
    <s v="Pending"/>
    <s v="9/29/2024"/>
    <n v="66704.62"/>
    <s v="bob.smith@example.com"/>
    <n v="-2474140702"/>
    <x v="3"/>
    <b v="1"/>
    <d v="2024-09-29T00:00:00"/>
    <x v="0"/>
    <x v="3"/>
    <x v="0"/>
    <m/>
  </r>
  <r>
    <n v="414"/>
    <x v="414"/>
    <s v="Grace"/>
    <s v="Williams"/>
    <x v="0"/>
    <x v="33"/>
    <s v="Pending"/>
    <s v="4/22/2020"/>
    <n v="71650.3"/>
    <s v="grace.williams@example.com"/>
    <n v="-4910740649"/>
    <x v="3"/>
    <b v="1"/>
    <d v="2020-04-22T00:00:00"/>
    <x v="1"/>
    <x v="5"/>
    <x v="1"/>
    <m/>
  </r>
  <r>
    <n v="415"/>
    <x v="415"/>
    <s v="Charlie"/>
    <s v="Smith"/>
    <x v="0"/>
    <x v="11"/>
    <s v="Active"/>
    <s v="12/07/2023"/>
    <n v="50794.54"/>
    <s v="charlie.smith@example.com"/>
    <n v="-425488213"/>
    <x v="2"/>
    <b v="1"/>
    <d v="2023-12-07T00:00:00"/>
    <x v="3"/>
    <x v="2"/>
    <x v="0"/>
    <m/>
  </r>
  <r>
    <n v="416"/>
    <x v="416"/>
    <s v="Frank"/>
    <s v="Jones"/>
    <x v="1"/>
    <x v="29"/>
    <s v="Inactive"/>
    <s v="12/07/2020"/>
    <n v="76030.86"/>
    <s v="frank.jones@example.com"/>
    <n v="-2369143074"/>
    <x v="2"/>
    <b v="1"/>
    <d v="2020-12-07T00:00:00"/>
    <x v="4"/>
    <x v="2"/>
    <x v="1"/>
    <m/>
  </r>
  <r>
    <n v="417"/>
    <x v="417"/>
    <s v="Eva"/>
    <s v="Johnson"/>
    <x v="0"/>
    <x v="34"/>
    <s v="Inactive"/>
    <s v="07/11/2021"/>
    <n v="86669.79"/>
    <s v="eva.johnson@example.com"/>
    <n v="-3666144941"/>
    <x v="1"/>
    <b v="1"/>
    <d v="2021-07-11T00:00:00"/>
    <x v="3"/>
    <x v="0"/>
    <x v="1"/>
    <m/>
  </r>
  <r>
    <n v="418"/>
    <x v="418"/>
    <s v="Bob"/>
    <s v="Garcia"/>
    <x v="2"/>
    <x v="33"/>
    <s v="Inactive"/>
    <s v="4/23/2020"/>
    <n v="84972.7"/>
    <s v="bob.garcia@example.com"/>
    <n v="-9659234267"/>
    <x v="3"/>
    <b v="1"/>
    <d v="2020-04-23T00:00:00"/>
    <x v="1"/>
    <x v="5"/>
    <x v="1"/>
    <m/>
  </r>
  <r>
    <n v="419"/>
    <x v="419"/>
    <s v="Frank"/>
    <s v="Miller"/>
    <x v="3"/>
    <x v="20"/>
    <s v="Pending"/>
    <s v="10/12/2023"/>
    <n v="100594.49"/>
    <s v="frank.miller@example.com"/>
    <n v="-3441497825"/>
    <x v="0"/>
    <b v="0"/>
    <d v="2023-10-12T00:00:00"/>
    <x v="5"/>
    <x v="1"/>
    <x v="2"/>
    <m/>
  </r>
  <r>
    <n v="420"/>
    <x v="420"/>
    <s v="Alice"/>
    <s v="Johnson"/>
    <x v="0"/>
    <x v="6"/>
    <s v="Active"/>
    <s v="8/24/2022"/>
    <n v="75478.350000000006"/>
    <s v="alice.johnson@example.com"/>
    <n v="-6128758574"/>
    <x v="1"/>
    <b v="0"/>
    <d v="2022-08-24T00:00:00"/>
    <x v="3"/>
    <x v="4"/>
    <x v="0"/>
    <m/>
  </r>
  <r>
    <n v="421"/>
    <x v="421"/>
    <s v="Charlie"/>
    <s v="Johnson"/>
    <x v="0"/>
    <x v="29"/>
    <s v="Pending"/>
    <s v="09/04/2023"/>
    <n v="79355.850000000006"/>
    <s v="charlie.johnson@example.com"/>
    <n v="-6766708060"/>
    <x v="2"/>
    <b v="0"/>
    <d v="2023-09-04T00:00:00"/>
    <x v="4"/>
    <x v="2"/>
    <x v="1"/>
    <m/>
  </r>
  <r>
    <n v="422"/>
    <x v="422"/>
    <s v="Grace"/>
    <s v="Miller"/>
    <x v="4"/>
    <x v="20"/>
    <s v="Pending"/>
    <s v="02/02/2022"/>
    <n v="58358.07"/>
    <s v="grace.miller@example.com"/>
    <n v="-2943985297"/>
    <x v="3"/>
    <b v="1"/>
    <d v="2022-02-02T00:00:00"/>
    <x v="5"/>
    <x v="1"/>
    <x v="1"/>
    <m/>
  </r>
  <r>
    <n v="423"/>
    <x v="423"/>
    <s v="Alice"/>
    <s v="Williams"/>
    <x v="3"/>
    <x v="12"/>
    <s v="Active"/>
    <s v="04/01/2022"/>
    <n v="54824.85"/>
    <s v="alice.williams@example.com"/>
    <n v="-9406260786"/>
    <x v="0"/>
    <b v="0"/>
    <d v="2022-04-01T00:00:00"/>
    <x v="2"/>
    <x v="5"/>
    <x v="1"/>
    <m/>
  </r>
  <r>
    <n v="424"/>
    <x v="424"/>
    <s v="Eva"/>
    <s v="Garcia"/>
    <x v="4"/>
    <x v="20"/>
    <s v="Pending"/>
    <s v="7/24/2022"/>
    <n v="50557.84"/>
    <s v="eva.garcia@example.com"/>
    <n v="-104159148"/>
    <x v="0"/>
    <b v="1"/>
    <d v="2022-07-24T00:00:00"/>
    <x v="5"/>
    <x v="1"/>
    <x v="1"/>
    <m/>
  </r>
  <r>
    <n v="425"/>
    <x v="425"/>
    <s v="Eva"/>
    <s v="Jones"/>
    <x v="1"/>
    <x v="27"/>
    <s v="Inactive"/>
    <s v="4/26/2023"/>
    <n v="118030.04"/>
    <s v="eva.jones@example.com"/>
    <n v="-7501980381"/>
    <x v="1"/>
    <b v="1"/>
    <d v="2023-04-26T00:00:00"/>
    <x v="2"/>
    <x v="3"/>
    <x v="2"/>
    <m/>
  </r>
  <r>
    <n v="426"/>
    <x v="426"/>
    <s v="David"/>
    <s v="Smith"/>
    <x v="1"/>
    <x v="26"/>
    <s v="Active"/>
    <s v="4/19/2022"/>
    <n v="51673.72"/>
    <s v="david.smith@example.com"/>
    <n v="-8723244078"/>
    <x v="3"/>
    <b v="0"/>
    <d v="2022-04-19T00:00:00"/>
    <x v="2"/>
    <x v="4"/>
    <x v="1"/>
    <m/>
  </r>
  <r>
    <n v="427"/>
    <x v="427"/>
    <s v="Alice"/>
    <s v="Brown"/>
    <x v="4"/>
    <x v="11"/>
    <s v="Inactive"/>
    <s v="10/04/2024"/>
    <n v="101665.79"/>
    <s v="alice.brown@example.com"/>
    <n v="-3110291812"/>
    <x v="3"/>
    <b v="1"/>
    <d v="2024-10-04T00:00:00"/>
    <x v="3"/>
    <x v="2"/>
    <x v="1"/>
    <m/>
  </r>
  <r>
    <n v="428"/>
    <x v="428"/>
    <s v="David"/>
    <s v="Smith"/>
    <x v="1"/>
    <x v="27"/>
    <s v="Inactive"/>
    <s v="05/02/2020"/>
    <n v="118079.15"/>
    <s v="david.smith@example.com"/>
    <n v="-3170876013"/>
    <x v="2"/>
    <b v="1"/>
    <d v="2020-05-02T00:00:00"/>
    <x v="2"/>
    <x v="3"/>
    <x v="2"/>
    <m/>
  </r>
  <r>
    <n v="429"/>
    <x v="429"/>
    <s v="Eva"/>
    <s v="Brown"/>
    <x v="0"/>
    <x v="6"/>
    <s v="Pending"/>
    <s v="4/25/2022"/>
    <n v="99059.28"/>
    <s v="eva.brown@example.com"/>
    <n v="-6723849790"/>
    <x v="3"/>
    <b v="0"/>
    <d v="2022-04-25T00:00:00"/>
    <x v="3"/>
    <x v="4"/>
    <x v="1"/>
    <m/>
  </r>
  <r>
    <n v="430"/>
    <x v="430"/>
    <s v="Bob"/>
    <s v="Smith"/>
    <x v="1"/>
    <x v="13"/>
    <s v="Active"/>
    <s v="7/29/2023"/>
    <n v="107397.4"/>
    <s v="bob.smith@example.com"/>
    <n v="-6202232882"/>
    <x v="3"/>
    <b v="0"/>
    <d v="2023-07-29T00:00:00"/>
    <x v="3"/>
    <x v="5"/>
    <x v="1"/>
    <m/>
  </r>
  <r>
    <n v="431"/>
    <x v="431"/>
    <s v="Alice"/>
    <s v="Miller"/>
    <x v="2"/>
    <x v="5"/>
    <s v="Active"/>
    <s v="8/20/2021"/>
    <n v="68269.37"/>
    <s v="alice.miller@example.com"/>
    <n v="-7744197545"/>
    <x v="1"/>
    <b v="0"/>
    <d v="2021-08-20T00:00:00"/>
    <x v="0"/>
    <x v="4"/>
    <x v="0"/>
    <m/>
  </r>
  <r>
    <n v="432"/>
    <x v="432"/>
    <s v="Grace"/>
    <s v="Jones"/>
    <x v="4"/>
    <x v="28"/>
    <s v="Inactive"/>
    <s v="4/23/2021"/>
    <n v="55228.12"/>
    <s v="grace.jones@example.com"/>
    <n v="-6176620470"/>
    <x v="3"/>
    <b v="1"/>
    <d v="2021-04-23T00:00:00"/>
    <x v="5"/>
    <x v="3"/>
    <x v="1"/>
    <m/>
  </r>
  <r>
    <n v="433"/>
    <x v="433"/>
    <s v="Bob"/>
    <s v="Garcia"/>
    <x v="3"/>
    <x v="6"/>
    <s v="Inactive"/>
    <s v="08/12/2022"/>
    <n v="71982.33"/>
    <s v="bob.garcia@example.com"/>
    <n v="-9609409704"/>
    <x v="0"/>
    <b v="0"/>
    <d v="2022-08-12T00:00:00"/>
    <x v="3"/>
    <x v="4"/>
    <x v="0"/>
    <m/>
  </r>
  <r>
    <n v="434"/>
    <x v="434"/>
    <s v="Frank"/>
    <s v="Brown"/>
    <x v="3"/>
    <x v="8"/>
    <s v="Inactive"/>
    <s v="6/26/2021"/>
    <n v="109673.75"/>
    <s v="frank.brown@example.com"/>
    <n v="-2774025882"/>
    <x v="1"/>
    <b v="0"/>
    <d v="2021-06-26T00:00:00"/>
    <x v="1"/>
    <x v="0"/>
    <x v="2"/>
    <m/>
  </r>
  <r>
    <n v="435"/>
    <x v="435"/>
    <s v="Eva"/>
    <s v="Garcia"/>
    <x v="1"/>
    <x v="6"/>
    <s v="Inactive"/>
    <s v="10/30/2020"/>
    <n v="56384.9"/>
    <s v="eva.garcia@example.com"/>
    <n v="-5868122594"/>
    <x v="1"/>
    <b v="1"/>
    <d v="2020-10-30T00:00:00"/>
    <x v="3"/>
    <x v="4"/>
    <x v="0"/>
    <m/>
  </r>
  <r>
    <n v="436"/>
    <x v="436"/>
    <s v="Frank"/>
    <s v="Garcia"/>
    <x v="2"/>
    <x v="4"/>
    <s v="Pending"/>
    <s v="09/04/2021"/>
    <n v="68211.679999999993"/>
    <s v="frank.garcia@example.com"/>
    <n v="-7244617678"/>
    <x v="2"/>
    <b v="0"/>
    <d v="2021-09-04T00:00:00"/>
    <x v="4"/>
    <x v="1"/>
    <x v="1"/>
    <m/>
  </r>
  <r>
    <n v="437"/>
    <x v="437"/>
    <s v="Alice"/>
    <s v="Garcia"/>
    <x v="2"/>
    <x v="33"/>
    <s v="Pending"/>
    <s v="1/31/2023"/>
    <n v="67489.679999999993"/>
    <s v="alice.garcia@example.com"/>
    <n v="-2988425994"/>
    <x v="3"/>
    <b v="0"/>
    <d v="2023-01-31T00:00:00"/>
    <x v="1"/>
    <x v="5"/>
    <x v="1"/>
    <m/>
  </r>
  <r>
    <n v="438"/>
    <x v="438"/>
    <s v="Charlie"/>
    <s v="Davis"/>
    <x v="0"/>
    <x v="23"/>
    <s v="Active"/>
    <s v="9/24/2020"/>
    <n v="63869.31"/>
    <s v="charlie.davis@example.com"/>
    <n v="-9961002310"/>
    <x v="2"/>
    <b v="0"/>
    <d v="2020-09-24T00:00:00"/>
    <x v="3"/>
    <x v="1"/>
    <x v="0"/>
    <m/>
  </r>
  <r>
    <n v="439"/>
    <x v="439"/>
    <s v="Bob"/>
    <s v="Williams"/>
    <x v="1"/>
    <x v="24"/>
    <s v="Active"/>
    <s v="2/14/2020"/>
    <n v="119801.3"/>
    <s v="bob.williams@example.com"/>
    <n v="-7753312660"/>
    <x v="0"/>
    <b v="1"/>
    <d v="2020-02-14T00:00:00"/>
    <x v="4"/>
    <x v="0"/>
    <x v="2"/>
    <m/>
  </r>
  <r>
    <n v="440"/>
    <x v="440"/>
    <s v="Heidi"/>
    <s v="Smith"/>
    <x v="3"/>
    <x v="34"/>
    <s v="Active"/>
    <s v="3/28/2020"/>
    <n v="115959.65"/>
    <s v="heidi.smith@example.com"/>
    <n v="-941017589"/>
    <x v="1"/>
    <b v="1"/>
    <d v="2020-03-28T00:00:00"/>
    <x v="3"/>
    <x v="0"/>
    <x v="1"/>
    <m/>
  </r>
  <r>
    <n v="441"/>
    <x v="441"/>
    <s v="Grace"/>
    <s v="Garcia"/>
    <x v="2"/>
    <x v="1"/>
    <s v="Inactive"/>
    <s v="10/31/2023"/>
    <n v="79866.48"/>
    <s v="grace.garcia@example.com"/>
    <n v="-2517629832"/>
    <x v="1"/>
    <b v="1"/>
    <d v="2023-10-31T00:00:00"/>
    <x v="1"/>
    <x v="1"/>
    <x v="1"/>
    <m/>
  </r>
  <r>
    <n v="442"/>
    <x v="442"/>
    <s v="Charlie"/>
    <s v="Smith"/>
    <x v="4"/>
    <x v="28"/>
    <s v="Active"/>
    <s v="03/11/2020"/>
    <n v="92987.46"/>
    <s v="charlie.smith@example.com"/>
    <n v="-4774332682"/>
    <x v="1"/>
    <b v="1"/>
    <d v="2020-03-11T00:00:00"/>
    <x v="5"/>
    <x v="3"/>
    <x v="2"/>
    <m/>
  </r>
  <r>
    <n v="443"/>
    <x v="443"/>
    <s v="Eva"/>
    <s v="Garcia"/>
    <x v="2"/>
    <x v="33"/>
    <s v="Inactive"/>
    <s v="05/04/2020"/>
    <n v="56140.51"/>
    <s v="eva.garcia@example.com"/>
    <n v="-1901302055"/>
    <x v="0"/>
    <b v="0"/>
    <d v="2020-05-04T00:00:00"/>
    <x v="1"/>
    <x v="5"/>
    <x v="0"/>
    <m/>
  </r>
  <r>
    <n v="444"/>
    <x v="444"/>
    <s v="Grace"/>
    <s v="Brown"/>
    <x v="3"/>
    <x v="10"/>
    <s v="Active"/>
    <s v="7/15/2023"/>
    <n v="119586.11"/>
    <s v="grace.brown@example.com"/>
    <n v="-9815287338"/>
    <x v="0"/>
    <b v="1"/>
    <d v="2023-07-15T00:00:00"/>
    <x v="0"/>
    <x v="5"/>
    <x v="1"/>
    <m/>
  </r>
  <r>
    <n v="445"/>
    <x v="445"/>
    <s v="Alice"/>
    <s v="Williams"/>
    <x v="2"/>
    <x v="0"/>
    <s v="Inactive"/>
    <s v="1/20/2023"/>
    <n v="104700.46"/>
    <s v="alice.williams@example.com"/>
    <n v="-7855982175"/>
    <x v="2"/>
    <b v="1"/>
    <d v="2023-01-20T00:00:00"/>
    <x v="0"/>
    <x v="0"/>
    <x v="1"/>
    <m/>
  </r>
  <r>
    <n v="446"/>
    <x v="446"/>
    <s v="Frank"/>
    <s v="Williams"/>
    <x v="2"/>
    <x v="7"/>
    <s v="Active"/>
    <s v="10/15/2021"/>
    <n v="91798.14"/>
    <s v="frank.williams@example.com"/>
    <n v="-6191284116"/>
    <x v="2"/>
    <b v="0"/>
    <d v="2021-10-15T00:00:00"/>
    <x v="5"/>
    <x v="4"/>
    <x v="2"/>
    <m/>
  </r>
  <r>
    <n v="447"/>
    <x v="447"/>
    <s v="Eva"/>
    <s v="Miller"/>
    <x v="0"/>
    <x v="33"/>
    <s v="Inactive"/>
    <s v="4/19/2024"/>
    <n v="90879.22"/>
    <s v="eva.miller@example.com"/>
    <n v="-3098503445"/>
    <x v="2"/>
    <b v="0"/>
    <d v="2024-04-19T00:00:00"/>
    <x v="1"/>
    <x v="5"/>
    <x v="1"/>
    <m/>
  </r>
  <r>
    <n v="448"/>
    <x v="448"/>
    <s v="Charlie"/>
    <s v="Davis"/>
    <x v="0"/>
    <x v="2"/>
    <s v="Active"/>
    <s v="6/29/2021"/>
    <n v="87358.27"/>
    <s v="charlie.davis@example.com"/>
    <n v="-5124189388"/>
    <x v="3"/>
    <b v="0"/>
    <d v="2021-06-29T00:00:00"/>
    <x v="2"/>
    <x v="2"/>
    <x v="2"/>
    <m/>
  </r>
  <r>
    <n v="449"/>
    <x v="449"/>
    <s v="Alice"/>
    <s v="Miller"/>
    <x v="3"/>
    <x v="9"/>
    <s v="Inactive"/>
    <s v="9/14/2024"/>
    <n v="119407.93"/>
    <s v="alice.miller@example.com"/>
    <n v="-8469081973"/>
    <x v="1"/>
    <b v="1"/>
    <d v="2024-09-14T00:00:00"/>
    <x v="4"/>
    <x v="3"/>
    <x v="2"/>
    <m/>
  </r>
  <r>
    <n v="450"/>
    <x v="450"/>
    <s v="David"/>
    <s v="Miller"/>
    <x v="1"/>
    <x v="22"/>
    <s v="Pending"/>
    <s v="01/04/2022"/>
    <n v="113978.6"/>
    <s v="david.miller@example.com"/>
    <n v="-56435022"/>
    <x v="1"/>
    <b v="1"/>
    <d v="2022-01-04T00:00:00"/>
    <x v="5"/>
    <x v="2"/>
    <x v="2"/>
    <m/>
  </r>
  <r>
    <n v="451"/>
    <x v="451"/>
    <s v="Frank"/>
    <s v="Miller"/>
    <x v="1"/>
    <x v="17"/>
    <s v="Pending"/>
    <s v="1/20/2021"/>
    <n v="108568.78"/>
    <s v="frank.miller@example.com"/>
    <n v="-8503719904"/>
    <x v="2"/>
    <b v="1"/>
    <d v="2021-01-20T00:00:00"/>
    <x v="4"/>
    <x v="4"/>
    <x v="2"/>
    <m/>
  </r>
  <r>
    <n v="452"/>
    <x v="452"/>
    <s v="Heidi"/>
    <s v="Miller"/>
    <x v="1"/>
    <x v="7"/>
    <s v="Inactive"/>
    <s v="3/18/2020"/>
    <n v="56318.02"/>
    <s v="heidi.miller@example.com"/>
    <n v="-1699187239"/>
    <x v="1"/>
    <b v="0"/>
    <d v="2020-03-18T00:00:00"/>
    <x v="5"/>
    <x v="4"/>
    <x v="1"/>
    <m/>
  </r>
  <r>
    <n v="453"/>
    <x v="453"/>
    <s v="David"/>
    <s v="Miller"/>
    <x v="0"/>
    <x v="9"/>
    <s v="Active"/>
    <s v="11/10/2021"/>
    <n v="114252.73"/>
    <s v="david.miller@example.com"/>
    <n v="-1078356742"/>
    <x v="2"/>
    <b v="0"/>
    <d v="2021-11-10T00:00:00"/>
    <x v="4"/>
    <x v="3"/>
    <x v="2"/>
    <m/>
  </r>
  <r>
    <n v="454"/>
    <x v="454"/>
    <s v="Charlie"/>
    <s v="Jones"/>
    <x v="4"/>
    <x v="5"/>
    <s v="Inactive"/>
    <s v="05/01/2020"/>
    <n v="51533.9"/>
    <s v="charlie.jones@example.com"/>
    <n v="-3896086"/>
    <x v="3"/>
    <b v="1"/>
    <d v="2020-05-01T00:00:00"/>
    <x v="0"/>
    <x v="4"/>
    <x v="0"/>
    <m/>
  </r>
  <r>
    <n v="455"/>
    <x v="455"/>
    <s v="Charlie"/>
    <s v="Williams"/>
    <x v="0"/>
    <x v="24"/>
    <s v="Active"/>
    <s v="02/04/2022"/>
    <n v="99317.66"/>
    <s v="charlie.williams@example.com"/>
    <n v="-662668216"/>
    <x v="3"/>
    <b v="0"/>
    <d v="2022-02-04T00:00:00"/>
    <x v="4"/>
    <x v="0"/>
    <x v="2"/>
    <m/>
  </r>
  <r>
    <n v="456"/>
    <x v="456"/>
    <s v="Bob"/>
    <s v="Miller"/>
    <x v="4"/>
    <x v="21"/>
    <s v="Active"/>
    <s v="11/18/2020"/>
    <n v="101264.64"/>
    <s v="bob.miller@example.com"/>
    <n v="-1955356032"/>
    <x v="0"/>
    <b v="0"/>
    <d v="2020-11-18T00:00:00"/>
    <x v="5"/>
    <x v="0"/>
    <x v="2"/>
    <m/>
  </r>
  <r>
    <n v="457"/>
    <x v="457"/>
    <s v="Heidi"/>
    <s v="Garcia"/>
    <x v="4"/>
    <x v="2"/>
    <s v="Pending"/>
    <s v="11/21/2023"/>
    <n v="112272.02"/>
    <s v="heidi.garcia@example.com"/>
    <n v="-1903689002"/>
    <x v="3"/>
    <b v="0"/>
    <d v="2023-11-21T00:00:00"/>
    <x v="2"/>
    <x v="2"/>
    <x v="2"/>
    <m/>
  </r>
  <r>
    <n v="458"/>
    <x v="458"/>
    <s v="Frank"/>
    <s v="Williams"/>
    <x v="3"/>
    <x v="10"/>
    <s v="Active"/>
    <s v="2/13/2022"/>
    <n v="71477.63"/>
    <s v="frank.williams@example.com"/>
    <n v="-102724054"/>
    <x v="2"/>
    <b v="1"/>
    <d v="2022-02-13T00:00:00"/>
    <x v="0"/>
    <x v="5"/>
    <x v="0"/>
    <m/>
  </r>
  <r>
    <n v="459"/>
    <x v="459"/>
    <s v="Charlie"/>
    <s v="Williams"/>
    <x v="3"/>
    <x v="32"/>
    <s v="Pending"/>
    <s v="3/19/2023"/>
    <n v="77412.100000000006"/>
    <s v="charlie.williams@example.com"/>
    <n v="-9342967110"/>
    <x v="3"/>
    <b v="0"/>
    <d v="2023-03-19T00:00:00"/>
    <x v="0"/>
    <x v="1"/>
    <x v="0"/>
    <m/>
  </r>
  <r>
    <n v="460"/>
    <x v="460"/>
    <s v="Alice"/>
    <s v="Johnson"/>
    <x v="3"/>
    <x v="24"/>
    <s v="Pending"/>
    <s v="3/28/2021"/>
    <n v="94775.27"/>
    <s v="alice.johnson@example.com"/>
    <n v="-4837537457"/>
    <x v="0"/>
    <b v="0"/>
    <d v="2021-03-28T00:00:00"/>
    <x v="4"/>
    <x v="0"/>
    <x v="1"/>
    <m/>
  </r>
  <r>
    <n v="461"/>
    <x v="461"/>
    <s v="Heidi"/>
    <s v="Jones"/>
    <x v="3"/>
    <x v="22"/>
    <s v="Active"/>
    <s v="05/02/2021"/>
    <n v="74276.710000000006"/>
    <s v="heidi.jones@example.com"/>
    <n v="-4384588104"/>
    <x v="1"/>
    <b v="1"/>
    <d v="2021-05-02T00:00:00"/>
    <x v="5"/>
    <x v="2"/>
    <x v="1"/>
    <m/>
  </r>
  <r>
    <n v="462"/>
    <x v="462"/>
    <s v="Bob"/>
    <s v="Miller"/>
    <x v="4"/>
    <x v="1"/>
    <s v="Inactive"/>
    <s v="03/05/2021"/>
    <n v="67467.86"/>
    <s v="bob.miller@example.com"/>
    <n v="-6974132833"/>
    <x v="2"/>
    <b v="1"/>
    <d v="2021-03-05T00:00:00"/>
    <x v="1"/>
    <x v="1"/>
    <x v="1"/>
    <m/>
  </r>
  <r>
    <n v="463"/>
    <x v="463"/>
    <s v="Eva"/>
    <s v="Smith"/>
    <x v="0"/>
    <x v="32"/>
    <s v="Active"/>
    <s v="03/01/2022"/>
    <n v="80675.41"/>
    <s v="eva.smith@example.com"/>
    <n v="-8315203770"/>
    <x v="1"/>
    <b v="0"/>
    <d v="2022-03-01T00:00:00"/>
    <x v="0"/>
    <x v="1"/>
    <x v="0"/>
    <m/>
  </r>
  <r>
    <n v="464"/>
    <x v="464"/>
    <s v="Charlie"/>
    <s v="Brown"/>
    <x v="2"/>
    <x v="18"/>
    <s v="Inactive"/>
    <s v="1/23/2023"/>
    <n v="76274.33"/>
    <s v="charlie.brown@example.com"/>
    <n v="-704496409"/>
    <x v="0"/>
    <b v="0"/>
    <d v="2023-01-23T00:00:00"/>
    <x v="1"/>
    <x v="3"/>
    <x v="1"/>
    <m/>
  </r>
  <r>
    <n v="465"/>
    <x v="465"/>
    <s v="David"/>
    <s v="Davis"/>
    <x v="3"/>
    <x v="1"/>
    <s v="Active"/>
    <s v="8/26/2021"/>
    <n v="51405.46"/>
    <s v="david.davis@example.com"/>
    <n v="-4967066702"/>
    <x v="0"/>
    <b v="1"/>
    <d v="2021-08-26T00:00:00"/>
    <x v="1"/>
    <x v="1"/>
    <x v="0"/>
    <m/>
  </r>
  <r>
    <n v="466"/>
    <x v="466"/>
    <s v="Bob"/>
    <s v="Garcia"/>
    <x v="0"/>
    <x v="7"/>
    <s v="Inactive"/>
    <s v="11/25/2020"/>
    <n v="101238.96"/>
    <s v="bob.garcia@example.com"/>
    <n v="-3626804084"/>
    <x v="0"/>
    <b v="1"/>
    <d v="2020-11-25T00:00:00"/>
    <x v="5"/>
    <x v="4"/>
    <x v="2"/>
    <m/>
  </r>
  <r>
    <n v="467"/>
    <x v="467"/>
    <s v="Bob"/>
    <s v="Smith"/>
    <x v="4"/>
    <x v="14"/>
    <s v="Inactive"/>
    <s v="12/13/2023"/>
    <n v="52169.52"/>
    <s v="bob.smith@example.com"/>
    <n v="-954930595"/>
    <x v="1"/>
    <b v="0"/>
    <d v="2023-12-13T00:00:00"/>
    <x v="4"/>
    <x v="5"/>
    <x v="1"/>
    <m/>
  </r>
  <r>
    <n v="468"/>
    <x v="468"/>
    <s v="Charlie"/>
    <s v="Jones"/>
    <x v="1"/>
    <x v="30"/>
    <s v="Active"/>
    <s v="7/26/2020"/>
    <n v="73176.62"/>
    <s v="charlie.jones@example.com"/>
    <n v="-6018648768"/>
    <x v="1"/>
    <b v="0"/>
    <d v="2020-07-26T00:00:00"/>
    <x v="1"/>
    <x v="4"/>
    <x v="1"/>
    <m/>
  </r>
  <r>
    <n v="469"/>
    <x v="469"/>
    <s v="Grace"/>
    <s v="Brown"/>
    <x v="1"/>
    <x v="35"/>
    <s v="Pending"/>
    <s v="6/27/2021"/>
    <n v="96241.85"/>
    <s v="grace.brown@example.com"/>
    <n v="-9842673203"/>
    <x v="1"/>
    <b v="0"/>
    <d v="2021-06-27T00:00:00"/>
    <x v="0"/>
    <x v="2"/>
    <x v="1"/>
    <m/>
  </r>
  <r>
    <n v="470"/>
    <x v="470"/>
    <s v="Bob"/>
    <s v="Jones"/>
    <x v="0"/>
    <x v="33"/>
    <s v="Pending"/>
    <s v="9/16/2024"/>
    <n v="84366.38"/>
    <s v="bob.jones@example.com"/>
    <n v="-4138459608"/>
    <x v="1"/>
    <b v="0"/>
    <d v="2024-09-16T00:00:00"/>
    <x v="1"/>
    <x v="5"/>
    <x v="1"/>
    <m/>
  </r>
  <r>
    <n v="471"/>
    <x v="471"/>
    <s v="Alice"/>
    <s v="Garcia"/>
    <x v="2"/>
    <x v="34"/>
    <s v="Pending"/>
    <s v="07/04/2023"/>
    <n v="92015.09"/>
    <s v="alice.garcia@example.com"/>
    <n v="-4544901494"/>
    <x v="0"/>
    <b v="1"/>
    <d v="2023-07-04T00:00:00"/>
    <x v="3"/>
    <x v="0"/>
    <x v="1"/>
    <m/>
  </r>
  <r>
    <n v="472"/>
    <x v="472"/>
    <s v="Alice"/>
    <s v="Williams"/>
    <x v="3"/>
    <x v="2"/>
    <s v="Inactive"/>
    <s v="6/16/2020"/>
    <n v="83149.95"/>
    <s v="alice.williams@example.com"/>
    <n v="-4277070704"/>
    <x v="0"/>
    <b v="0"/>
    <d v="2020-06-16T00:00:00"/>
    <x v="2"/>
    <x v="2"/>
    <x v="2"/>
    <m/>
  </r>
  <r>
    <n v="473"/>
    <x v="473"/>
    <s v="Grace"/>
    <s v="Brown"/>
    <x v="2"/>
    <x v="15"/>
    <s v="Inactive"/>
    <s v="07/05/2020"/>
    <n v="94930.65"/>
    <s v="grace.brown@example.com"/>
    <n v="-7836091497"/>
    <x v="2"/>
    <b v="0"/>
    <d v="2020-07-05T00:00:00"/>
    <x v="1"/>
    <x v="2"/>
    <x v="1"/>
    <m/>
  </r>
  <r>
    <n v="474"/>
    <x v="474"/>
    <s v="Frank"/>
    <s v="Williams"/>
    <x v="2"/>
    <x v="7"/>
    <s v="Inactive"/>
    <s v="04/01/2020"/>
    <n v="68430.720000000001"/>
    <s v="frank.williams@example.com"/>
    <n v="-5172444722"/>
    <x v="2"/>
    <b v="1"/>
    <d v="2020-04-01T00:00:00"/>
    <x v="5"/>
    <x v="4"/>
    <x v="1"/>
    <m/>
  </r>
  <r>
    <n v="475"/>
    <x v="475"/>
    <s v="David"/>
    <s v="Garcia"/>
    <x v="4"/>
    <x v="4"/>
    <s v="Active"/>
    <s v="3/20/2024"/>
    <n v="98752.97"/>
    <s v="david.garcia@example.com"/>
    <n v="-2290310286"/>
    <x v="1"/>
    <b v="0"/>
    <d v="2024-03-20T00:00:00"/>
    <x v="4"/>
    <x v="1"/>
    <x v="2"/>
    <m/>
  </r>
  <r>
    <n v="476"/>
    <x v="476"/>
    <s v="Frank"/>
    <s v="Smith"/>
    <x v="1"/>
    <x v="33"/>
    <s v="Active"/>
    <s v="02/07/2023"/>
    <n v="54268.86"/>
    <s v="frank.smith@example.com"/>
    <n v="-9508304404"/>
    <x v="3"/>
    <b v="1"/>
    <d v="2023-02-07T00:00:00"/>
    <x v="1"/>
    <x v="5"/>
    <x v="0"/>
    <m/>
  </r>
  <r>
    <n v="477"/>
    <x v="477"/>
    <s v="Grace"/>
    <s v="Garcia"/>
    <x v="1"/>
    <x v="31"/>
    <s v="Pending"/>
    <s v="12/10/2024"/>
    <n v="66494.94"/>
    <s v="grace.garcia@example.com"/>
    <n v="-8093511870"/>
    <x v="3"/>
    <b v="0"/>
    <d v="2024-12-10T00:00:00"/>
    <x v="0"/>
    <x v="3"/>
    <x v="0"/>
    <m/>
  </r>
  <r>
    <n v="478"/>
    <x v="478"/>
    <s v="Grace"/>
    <s v="Smith"/>
    <x v="0"/>
    <x v="14"/>
    <s v="Pending"/>
    <s v="6/27/2024"/>
    <n v="90003.98"/>
    <s v="grace.smith@example.com"/>
    <n v="-8133595615"/>
    <x v="0"/>
    <b v="0"/>
    <d v="2024-06-27T00:00:00"/>
    <x v="4"/>
    <x v="5"/>
    <x v="1"/>
    <m/>
  </r>
  <r>
    <n v="479"/>
    <x v="479"/>
    <s v="Charlie"/>
    <s v="Brown"/>
    <x v="0"/>
    <x v="30"/>
    <s v="Active"/>
    <s v="03/09/2021"/>
    <n v="106592.25"/>
    <s v="charlie.brown@example.com"/>
    <n v="-4205955656"/>
    <x v="0"/>
    <b v="1"/>
    <d v="2021-03-09T00:00:00"/>
    <x v="1"/>
    <x v="4"/>
    <x v="2"/>
    <m/>
  </r>
  <r>
    <n v="480"/>
    <x v="480"/>
    <s v="Grace"/>
    <s v="Brown"/>
    <x v="0"/>
    <x v="31"/>
    <s v="Active"/>
    <s v="08/11/2024"/>
    <n v="93905.83"/>
    <s v="grace.brown@example.com"/>
    <n v="-4902504289"/>
    <x v="0"/>
    <b v="1"/>
    <d v="2024-08-11T00:00:00"/>
    <x v="0"/>
    <x v="3"/>
    <x v="1"/>
    <m/>
  </r>
  <r>
    <n v="481"/>
    <x v="481"/>
    <s v="Eva"/>
    <s v="Miller"/>
    <x v="4"/>
    <x v="32"/>
    <s v="Active"/>
    <s v="03/05/2022"/>
    <n v="88945.49"/>
    <s v="eva.miller@example.com"/>
    <n v="-1935889535"/>
    <x v="2"/>
    <b v="0"/>
    <d v="2022-03-05T00:00:00"/>
    <x v="0"/>
    <x v="1"/>
    <x v="1"/>
    <m/>
  </r>
  <r>
    <n v="482"/>
    <x v="482"/>
    <s v="Eva"/>
    <s v="Jones"/>
    <x v="1"/>
    <x v="1"/>
    <s v="Pending"/>
    <s v="6/30/2023"/>
    <n v="91130.33"/>
    <s v="eva.jones@example.com"/>
    <n v="-9026113988"/>
    <x v="2"/>
    <b v="0"/>
    <d v="2023-06-30T00:00:00"/>
    <x v="1"/>
    <x v="1"/>
    <x v="1"/>
    <m/>
  </r>
  <r>
    <n v="483"/>
    <x v="483"/>
    <s v="Bob"/>
    <s v="Miller"/>
    <x v="2"/>
    <x v="26"/>
    <s v="Pending"/>
    <s v="4/19/2023"/>
    <n v="90787.4"/>
    <s v="bob.miller@example.com"/>
    <n v="-8681809787"/>
    <x v="0"/>
    <b v="0"/>
    <d v="2023-04-19T00:00:00"/>
    <x v="2"/>
    <x v="4"/>
    <x v="2"/>
    <m/>
  </r>
  <r>
    <n v="484"/>
    <x v="484"/>
    <s v="Bob"/>
    <s v="Jones"/>
    <x v="0"/>
    <x v="4"/>
    <s v="Inactive"/>
    <s v="11/11/2024"/>
    <n v="87494.34"/>
    <s v="bob.jones@example.com"/>
    <n v="-7543943534"/>
    <x v="0"/>
    <b v="1"/>
    <d v="2024-11-11T00:00:00"/>
    <x v="4"/>
    <x v="1"/>
    <x v="1"/>
    <m/>
  </r>
  <r>
    <n v="485"/>
    <x v="485"/>
    <s v="Grace"/>
    <s v="Miller"/>
    <x v="4"/>
    <x v="15"/>
    <s v="Inactive"/>
    <s v="3/17/2023"/>
    <n v="92627.35"/>
    <s v="grace.miller@example.com"/>
    <n v="-3751376514"/>
    <x v="0"/>
    <b v="0"/>
    <d v="2023-03-17T00:00:00"/>
    <x v="1"/>
    <x v="2"/>
    <x v="1"/>
    <m/>
  </r>
  <r>
    <n v="486"/>
    <x v="486"/>
    <s v="Eva"/>
    <s v="Williams"/>
    <x v="2"/>
    <x v="12"/>
    <s v="Pending"/>
    <s v="10/26/2023"/>
    <n v="98556.29"/>
    <s v="eva.williams@example.com"/>
    <n v="-8815793762"/>
    <x v="3"/>
    <b v="1"/>
    <d v="2023-10-26T00:00:00"/>
    <x v="2"/>
    <x v="5"/>
    <x v="2"/>
    <m/>
  </r>
  <r>
    <n v="487"/>
    <x v="487"/>
    <s v="Frank"/>
    <s v="Brown"/>
    <x v="3"/>
    <x v="11"/>
    <s v="Inactive"/>
    <s v="07/04/2021"/>
    <n v="112792.2"/>
    <s v="frank.brown@example.com"/>
    <n v="-9283692943"/>
    <x v="2"/>
    <b v="1"/>
    <d v="2021-07-04T00:00:00"/>
    <x v="3"/>
    <x v="2"/>
    <x v="1"/>
    <m/>
  </r>
  <r>
    <n v="488"/>
    <x v="488"/>
    <s v="Eva"/>
    <s v="Smith"/>
    <x v="4"/>
    <x v="28"/>
    <s v="Pending"/>
    <s v="11/03/2023"/>
    <n v="56875.22"/>
    <s v="eva.smith@example.com"/>
    <n v="-5511668296"/>
    <x v="3"/>
    <b v="0"/>
    <d v="2023-11-03T00:00:00"/>
    <x v="5"/>
    <x v="3"/>
    <x v="1"/>
    <m/>
  </r>
  <r>
    <n v="489"/>
    <x v="489"/>
    <s v="Charlie"/>
    <s v="Jones"/>
    <x v="4"/>
    <x v="31"/>
    <s v="Inactive"/>
    <s v="07/05/2021"/>
    <n v="101015.96"/>
    <s v="charlie.jones@example.com"/>
    <n v="-3270216486"/>
    <x v="3"/>
    <b v="1"/>
    <d v="2021-07-05T00:00:00"/>
    <x v="0"/>
    <x v="3"/>
    <x v="1"/>
    <m/>
  </r>
  <r>
    <n v="490"/>
    <x v="490"/>
    <s v="Bob"/>
    <s v="Garcia"/>
    <x v="3"/>
    <x v="30"/>
    <s v="Inactive"/>
    <s v="2/26/2024"/>
    <n v="83912.22"/>
    <s v="bob.garcia@example.com"/>
    <n v="-1206021287"/>
    <x v="0"/>
    <b v="0"/>
    <d v="2024-02-26T00:00:00"/>
    <x v="1"/>
    <x v="4"/>
    <x v="1"/>
    <m/>
  </r>
  <r>
    <n v="491"/>
    <x v="491"/>
    <s v="Frank"/>
    <s v="Jones"/>
    <x v="0"/>
    <x v="17"/>
    <s v="Active"/>
    <s v="9/29/2021"/>
    <n v="99669.86"/>
    <s v="frank.jones@example.com"/>
    <n v="-6652683414"/>
    <x v="0"/>
    <b v="0"/>
    <d v="2021-09-29T00:00:00"/>
    <x v="4"/>
    <x v="4"/>
    <x v="2"/>
    <m/>
  </r>
  <r>
    <n v="492"/>
    <x v="492"/>
    <s v="Alice"/>
    <s v="Smith"/>
    <x v="3"/>
    <x v="26"/>
    <s v="Active"/>
    <s v="5/25/2021"/>
    <n v="52314.97"/>
    <s v="alice.smith@example.com"/>
    <n v="-5999101575"/>
    <x v="1"/>
    <b v="0"/>
    <d v="2021-05-25T00:00:00"/>
    <x v="2"/>
    <x v="4"/>
    <x v="1"/>
    <m/>
  </r>
  <r>
    <n v="493"/>
    <x v="493"/>
    <s v="Frank"/>
    <s v="Miller"/>
    <x v="3"/>
    <x v="21"/>
    <s v="Inactive"/>
    <s v="10/31/2022"/>
    <n v="77785.960000000006"/>
    <s v="frank.miller@example.com"/>
    <n v="-7647229811"/>
    <x v="1"/>
    <b v="0"/>
    <d v="2022-10-31T00:00:00"/>
    <x v="5"/>
    <x v="0"/>
    <x v="1"/>
    <m/>
  </r>
  <r>
    <n v="494"/>
    <x v="494"/>
    <s v="Alice"/>
    <s v="Jones"/>
    <x v="3"/>
    <x v="28"/>
    <s v="Pending"/>
    <s v="07/02/2022"/>
    <n v="62430.86"/>
    <s v="alice.jones@example.com"/>
    <n v="-995765727"/>
    <x v="3"/>
    <b v="0"/>
    <d v="2022-07-02T00:00:00"/>
    <x v="5"/>
    <x v="3"/>
    <x v="1"/>
    <m/>
  </r>
  <r>
    <n v="495"/>
    <x v="495"/>
    <s v="Frank"/>
    <s v="Davis"/>
    <x v="4"/>
    <x v="19"/>
    <s v="Pending"/>
    <s v="8/28/2024"/>
    <n v="98219.54"/>
    <s v="frank.davis@example.com"/>
    <n v="-9413475097"/>
    <x v="2"/>
    <b v="1"/>
    <d v="2024-08-28T00:00:00"/>
    <x v="2"/>
    <x v="0"/>
    <x v="2"/>
    <m/>
  </r>
  <r>
    <n v="496"/>
    <x v="496"/>
    <s v="Grace"/>
    <s v="Williams"/>
    <x v="0"/>
    <x v="12"/>
    <s v="Active"/>
    <s v="10/21/2024"/>
    <n v="65494.58"/>
    <s v="grace.williams@example.com"/>
    <n v="-8986456521"/>
    <x v="0"/>
    <b v="1"/>
    <d v="2024-10-21T00:00:00"/>
    <x v="2"/>
    <x v="5"/>
    <x v="1"/>
    <m/>
  </r>
  <r>
    <n v="497"/>
    <x v="497"/>
    <s v="David"/>
    <s v="Brown"/>
    <x v="4"/>
    <x v="31"/>
    <s v="Pending"/>
    <s v="02/11/2020"/>
    <n v="110524.1"/>
    <s v="david.brown@example.com"/>
    <n v="-368499514"/>
    <x v="0"/>
    <b v="0"/>
    <d v="2020-02-11T00:00:00"/>
    <x v="0"/>
    <x v="3"/>
    <x v="1"/>
    <m/>
  </r>
  <r>
    <n v="498"/>
    <x v="498"/>
    <s v="Alice"/>
    <s v="Smith"/>
    <x v="2"/>
    <x v="2"/>
    <s v="Active"/>
    <s v="5/16/2023"/>
    <n v="106060.54"/>
    <s v="alice.smith@example.com"/>
    <n v="-4214477323"/>
    <x v="3"/>
    <b v="0"/>
    <d v="2023-05-16T00:00:00"/>
    <x v="2"/>
    <x v="2"/>
    <x v="2"/>
    <m/>
  </r>
  <r>
    <n v="499"/>
    <x v="499"/>
    <s v="Eva"/>
    <s v="Brown"/>
    <x v="4"/>
    <x v="18"/>
    <s v="Inactive"/>
    <s v="7/29/2022"/>
    <n v="67639.91"/>
    <s v="eva.brown@example.com"/>
    <n v="-4913421387"/>
    <x v="1"/>
    <b v="1"/>
    <d v="2022-07-29T00:00:00"/>
    <x v="1"/>
    <x v="3"/>
    <x v="1"/>
    <m/>
  </r>
  <r>
    <n v="500"/>
    <x v="500"/>
    <s v="Grace"/>
    <s v="Davis"/>
    <x v="1"/>
    <x v="23"/>
    <s v="Pending"/>
    <s v="9/18/2023"/>
    <n v="117653.98"/>
    <s v="grace.davis@example.com"/>
    <n v="-2090883069"/>
    <x v="2"/>
    <b v="1"/>
    <d v="2023-09-18T00:00:00"/>
    <x v="3"/>
    <x v="1"/>
    <x v="1"/>
    <m/>
  </r>
  <r>
    <n v="501"/>
    <x v="501"/>
    <s v="Eva"/>
    <s v="Jones"/>
    <x v="4"/>
    <x v="32"/>
    <s v="Inactive"/>
    <s v="05/10/2020"/>
    <n v="73539.86"/>
    <s v="eva.jones@example.com"/>
    <n v="-5349678273"/>
    <x v="1"/>
    <b v="1"/>
    <d v="2020-05-10T00:00:00"/>
    <x v="0"/>
    <x v="1"/>
    <x v="0"/>
    <m/>
  </r>
  <r>
    <n v="502"/>
    <x v="502"/>
    <s v="Frank"/>
    <s v="Jones"/>
    <x v="4"/>
    <x v="22"/>
    <s v="Pending"/>
    <s v="8/27/2023"/>
    <n v="70915.38"/>
    <s v="frank.jones@example.com"/>
    <n v="-1176741240"/>
    <x v="1"/>
    <b v="1"/>
    <d v="2023-08-27T00:00:00"/>
    <x v="5"/>
    <x v="2"/>
    <x v="1"/>
    <m/>
  </r>
  <r>
    <n v="503"/>
    <x v="503"/>
    <s v="David"/>
    <s v="Garcia"/>
    <x v="0"/>
    <x v="9"/>
    <s v="Pending"/>
    <s v="10/16/2021"/>
    <n v="97652.9"/>
    <s v="david.garcia@example.com"/>
    <n v="-5131528546"/>
    <x v="1"/>
    <b v="0"/>
    <d v="2021-10-16T00:00:00"/>
    <x v="4"/>
    <x v="3"/>
    <x v="2"/>
    <m/>
  </r>
  <r>
    <n v="504"/>
    <x v="504"/>
    <s v="Heidi"/>
    <s v="Davis"/>
    <x v="4"/>
    <x v="28"/>
    <s v="Inactive"/>
    <s v="03/06/2022"/>
    <n v="101571.25"/>
    <s v="heidi.davis@example.com"/>
    <n v="-8150618537"/>
    <x v="1"/>
    <b v="0"/>
    <d v="2022-03-06T00:00:00"/>
    <x v="5"/>
    <x v="3"/>
    <x v="2"/>
    <m/>
  </r>
  <r>
    <n v="505"/>
    <x v="505"/>
    <s v="David"/>
    <s v="Smith"/>
    <x v="4"/>
    <x v="35"/>
    <s v="Active"/>
    <s v="11/06/2023"/>
    <n v="87424.46"/>
    <s v="david.smith@example.com"/>
    <n v="-32963346"/>
    <x v="0"/>
    <b v="1"/>
    <d v="2023-11-06T00:00:00"/>
    <x v="0"/>
    <x v="2"/>
    <x v="1"/>
    <m/>
  </r>
  <r>
    <n v="506"/>
    <x v="506"/>
    <s v="Frank"/>
    <s v="Garcia"/>
    <x v="1"/>
    <x v="7"/>
    <s v="Pending"/>
    <s v="11/30/2024"/>
    <n v="89077.36"/>
    <s v="frank.garcia@example.com"/>
    <n v="-2727423182"/>
    <x v="0"/>
    <b v="0"/>
    <d v="2024-11-30T00:00:00"/>
    <x v="5"/>
    <x v="4"/>
    <x v="2"/>
    <m/>
  </r>
  <r>
    <n v="507"/>
    <x v="507"/>
    <s v="Heidi"/>
    <s v="Williams"/>
    <x v="3"/>
    <x v="0"/>
    <s v="Pending"/>
    <s v="7/13/2024"/>
    <n v="89132.22"/>
    <s v="heidi.williams@example.com"/>
    <n v="-617893205"/>
    <x v="1"/>
    <b v="1"/>
    <d v="2024-07-13T00:00:00"/>
    <x v="0"/>
    <x v="0"/>
    <x v="1"/>
    <m/>
  </r>
  <r>
    <n v="508"/>
    <x v="508"/>
    <s v="Frank"/>
    <s v="Garcia"/>
    <x v="0"/>
    <x v="19"/>
    <s v="Active"/>
    <s v="03/04/2024"/>
    <n v="111000.26"/>
    <s v="frank.garcia@example.com"/>
    <n v="-4969357823"/>
    <x v="2"/>
    <b v="0"/>
    <d v="2024-03-04T00:00:00"/>
    <x v="2"/>
    <x v="0"/>
    <x v="2"/>
    <m/>
  </r>
  <r>
    <n v="509"/>
    <x v="509"/>
    <s v="Frank"/>
    <s v="Johnson"/>
    <x v="4"/>
    <x v="25"/>
    <s v="Inactive"/>
    <s v="08/07/2022"/>
    <n v="109584.97"/>
    <s v="frank.johnson@example.com"/>
    <n v="-3477695873"/>
    <x v="3"/>
    <b v="1"/>
    <d v="2022-08-07T00:00:00"/>
    <x v="5"/>
    <x v="5"/>
    <x v="2"/>
    <m/>
  </r>
  <r>
    <n v="510"/>
    <x v="510"/>
    <s v="Bob"/>
    <s v="Smith"/>
    <x v="2"/>
    <x v="12"/>
    <s v="Active"/>
    <s v="11/11/2024"/>
    <n v="97648.84"/>
    <s v="bob.smith@example.com"/>
    <n v="-1314675360"/>
    <x v="2"/>
    <b v="0"/>
    <d v="2024-11-11T00:00:00"/>
    <x v="2"/>
    <x v="5"/>
    <x v="2"/>
    <m/>
  </r>
  <r>
    <n v="511"/>
    <x v="511"/>
    <s v="Grace"/>
    <s v="Johnson"/>
    <x v="0"/>
    <x v="26"/>
    <s v="Active"/>
    <s v="12/02/2021"/>
    <n v="78643.429999999993"/>
    <s v="grace.johnson@example.com"/>
    <n v="-2751562778"/>
    <x v="2"/>
    <b v="1"/>
    <d v="2021-12-02T00:00:00"/>
    <x v="2"/>
    <x v="4"/>
    <x v="2"/>
    <m/>
  </r>
  <r>
    <n v="512"/>
    <x v="512"/>
    <s v="Heidi"/>
    <s v="Davis"/>
    <x v="3"/>
    <x v="22"/>
    <s v="Active"/>
    <s v="5/14/2024"/>
    <n v="55656.800000000003"/>
    <s v="heidi.davis@example.com"/>
    <n v="-6304483607"/>
    <x v="2"/>
    <b v="1"/>
    <d v="2024-05-14T00:00:00"/>
    <x v="5"/>
    <x v="2"/>
    <x v="1"/>
    <m/>
  </r>
  <r>
    <n v="513"/>
    <x v="513"/>
    <s v="Charlie"/>
    <s v="Miller"/>
    <x v="4"/>
    <x v="32"/>
    <s v="Active"/>
    <s v="7/14/2022"/>
    <n v="69146.95"/>
    <s v="charlie.miller@example.com"/>
    <n v="-5456676639"/>
    <x v="1"/>
    <b v="0"/>
    <d v="2022-07-14T00:00:00"/>
    <x v="0"/>
    <x v="1"/>
    <x v="0"/>
    <m/>
  </r>
  <r>
    <n v="514"/>
    <x v="514"/>
    <s v="Charlie"/>
    <s v="Johnson"/>
    <x v="1"/>
    <x v="27"/>
    <s v="Active"/>
    <s v="9/22/2020"/>
    <n v="93013.58"/>
    <s v="charlie.johnson@example.com"/>
    <n v="-4735047638"/>
    <x v="0"/>
    <b v="1"/>
    <d v="2020-09-22T00:00:00"/>
    <x v="2"/>
    <x v="3"/>
    <x v="2"/>
    <m/>
  </r>
  <r>
    <n v="515"/>
    <x v="515"/>
    <s v="Grace"/>
    <s v="Williams"/>
    <x v="2"/>
    <x v="18"/>
    <s v="Active"/>
    <s v="3/18/2020"/>
    <n v="87364.78"/>
    <s v="grace.williams@example.com"/>
    <n v="-2831995297"/>
    <x v="2"/>
    <b v="0"/>
    <d v="2020-03-18T00:00:00"/>
    <x v="1"/>
    <x v="3"/>
    <x v="1"/>
    <m/>
  </r>
  <r>
    <n v="516"/>
    <x v="516"/>
    <s v="Alice"/>
    <s v="Garcia"/>
    <x v="4"/>
    <x v="17"/>
    <s v="Active"/>
    <s v="10/17/2023"/>
    <n v="50288.67"/>
    <s v="alice.garcia@example.com"/>
    <n v="-61558107"/>
    <x v="1"/>
    <b v="0"/>
    <d v="2023-10-17T00:00:00"/>
    <x v="4"/>
    <x v="4"/>
    <x v="1"/>
    <m/>
  </r>
  <r>
    <n v="517"/>
    <x v="517"/>
    <s v="David"/>
    <s v="Miller"/>
    <x v="4"/>
    <x v="7"/>
    <s v="Active"/>
    <s v="2/24/2022"/>
    <n v="85233.55"/>
    <s v="david.miller@example.com"/>
    <n v="-3583286341"/>
    <x v="2"/>
    <b v="1"/>
    <d v="2022-02-24T00:00:00"/>
    <x v="5"/>
    <x v="4"/>
    <x v="2"/>
    <m/>
  </r>
  <r>
    <n v="518"/>
    <x v="518"/>
    <s v="Bob"/>
    <s v="Garcia"/>
    <x v="0"/>
    <x v="21"/>
    <s v="Inactive"/>
    <s v="1/30/2024"/>
    <n v="86420.19"/>
    <s v="bob.garcia@example.com"/>
    <n v="-5563830007"/>
    <x v="2"/>
    <b v="0"/>
    <d v="2024-01-30T00:00:00"/>
    <x v="5"/>
    <x v="0"/>
    <x v="2"/>
    <m/>
  </r>
  <r>
    <n v="519"/>
    <x v="519"/>
    <s v="Grace"/>
    <s v="Johnson"/>
    <x v="3"/>
    <x v="28"/>
    <s v="Inactive"/>
    <s v="3/16/2024"/>
    <n v="63189.82"/>
    <s v="grace.johnson@example.com"/>
    <n v="-1867024402"/>
    <x v="1"/>
    <b v="0"/>
    <d v="2024-03-16T00:00:00"/>
    <x v="5"/>
    <x v="3"/>
    <x v="1"/>
    <m/>
  </r>
  <r>
    <n v="520"/>
    <x v="520"/>
    <s v="Grace"/>
    <s v="Garcia"/>
    <x v="0"/>
    <x v="26"/>
    <s v="Pending"/>
    <s v="9/25/2020"/>
    <n v="64783.32"/>
    <s v="grace.garcia@example.com"/>
    <n v="-3041662410"/>
    <x v="0"/>
    <b v="0"/>
    <d v="2020-09-25T00:00:00"/>
    <x v="2"/>
    <x v="4"/>
    <x v="1"/>
    <m/>
  </r>
  <r>
    <n v="521"/>
    <x v="521"/>
    <s v="Charlie"/>
    <s v="Davis"/>
    <x v="0"/>
    <x v="22"/>
    <s v="Pending"/>
    <s v="06/10/2024"/>
    <n v="52615.44"/>
    <s v="charlie.davis@example.com"/>
    <n v="-1860089218"/>
    <x v="0"/>
    <b v="0"/>
    <d v="2024-06-10T00:00:00"/>
    <x v="5"/>
    <x v="2"/>
    <x v="1"/>
    <m/>
  </r>
  <r>
    <n v="522"/>
    <x v="522"/>
    <s v="Eva"/>
    <s v="Miller"/>
    <x v="1"/>
    <x v="4"/>
    <s v="Pending"/>
    <s v="04/08/2020"/>
    <n v="96337.89"/>
    <s v="eva.miller@example.com"/>
    <n v="-6394568043"/>
    <x v="3"/>
    <b v="0"/>
    <d v="2020-04-08T00:00:00"/>
    <x v="4"/>
    <x v="1"/>
    <x v="2"/>
    <m/>
  </r>
  <r>
    <n v="523"/>
    <x v="523"/>
    <s v="Alice"/>
    <s v="Davis"/>
    <x v="0"/>
    <x v="32"/>
    <s v="Inactive"/>
    <s v="6/28/2022"/>
    <n v="76617.759999999995"/>
    <s v="alice.davis@example.com"/>
    <n v="-7314976460"/>
    <x v="1"/>
    <b v="1"/>
    <d v="2022-06-28T00:00:00"/>
    <x v="0"/>
    <x v="1"/>
    <x v="0"/>
    <m/>
  </r>
  <r>
    <n v="524"/>
    <x v="524"/>
    <s v="Heidi"/>
    <s v="Johnson"/>
    <x v="3"/>
    <x v="2"/>
    <s v="Pending"/>
    <s v="7/14/2023"/>
    <n v="50651.32"/>
    <s v="heidi.johnson@example.com"/>
    <n v="-3684748835"/>
    <x v="3"/>
    <b v="0"/>
    <d v="2023-07-14T00:00:00"/>
    <x v="2"/>
    <x v="2"/>
    <x v="1"/>
    <m/>
  </r>
  <r>
    <n v="525"/>
    <x v="525"/>
    <s v="Bob"/>
    <s v="Davis"/>
    <x v="1"/>
    <x v="25"/>
    <s v="Pending"/>
    <s v="12/06/2023"/>
    <n v="59601.45"/>
    <s v="bob.davis@example.com"/>
    <n v="-765817389"/>
    <x v="3"/>
    <b v="0"/>
    <d v="2023-12-06T00:00:00"/>
    <x v="5"/>
    <x v="5"/>
    <x v="1"/>
    <m/>
  </r>
  <r>
    <n v="526"/>
    <x v="526"/>
    <s v="Bob"/>
    <s v="Williams"/>
    <x v="1"/>
    <x v="10"/>
    <s v="Active"/>
    <s v="08/01/2021"/>
    <n v="57980.88"/>
    <s v="bob.williams@example.com"/>
    <n v="-6375791451"/>
    <x v="3"/>
    <b v="0"/>
    <d v="2021-08-01T00:00:00"/>
    <x v="0"/>
    <x v="5"/>
    <x v="0"/>
    <m/>
  </r>
  <r>
    <n v="527"/>
    <x v="527"/>
    <s v="David"/>
    <s v="Johnson"/>
    <x v="1"/>
    <x v="19"/>
    <s v="Pending"/>
    <s v="2/17/2021"/>
    <n v="75054.53"/>
    <s v="david.johnson@example.com"/>
    <n v="-1182379311"/>
    <x v="0"/>
    <b v="0"/>
    <d v="2021-02-17T00:00:00"/>
    <x v="2"/>
    <x v="0"/>
    <x v="2"/>
    <m/>
  </r>
  <r>
    <n v="528"/>
    <x v="528"/>
    <s v="Charlie"/>
    <s v="Johnson"/>
    <x v="0"/>
    <x v="9"/>
    <s v="Active"/>
    <s v="11/10/2023"/>
    <n v="115318.7"/>
    <s v="charlie.johnson@example.com"/>
    <n v="-6978930745"/>
    <x v="1"/>
    <b v="0"/>
    <d v="2023-11-10T00:00:00"/>
    <x v="4"/>
    <x v="3"/>
    <x v="2"/>
    <m/>
  </r>
  <r>
    <n v="529"/>
    <x v="529"/>
    <s v="Alice"/>
    <s v="Johnson"/>
    <x v="0"/>
    <x v="32"/>
    <s v="Active"/>
    <s v="09/06/2024"/>
    <n v="90190.69"/>
    <s v="alice.johnson@example.com"/>
    <n v="-4520599603"/>
    <x v="3"/>
    <b v="1"/>
    <d v="2024-09-06T00:00:00"/>
    <x v="0"/>
    <x v="1"/>
    <x v="1"/>
    <m/>
  </r>
  <r>
    <n v="530"/>
    <x v="530"/>
    <s v="Bob"/>
    <s v="Smith"/>
    <x v="1"/>
    <x v="11"/>
    <s v="Pending"/>
    <s v="7/26/2020"/>
    <n v="113334.56"/>
    <s v="bob.smith@example.com"/>
    <n v="-3878753576"/>
    <x v="1"/>
    <b v="0"/>
    <d v="2020-07-26T00:00:00"/>
    <x v="3"/>
    <x v="2"/>
    <x v="1"/>
    <m/>
  </r>
  <r>
    <n v="531"/>
    <x v="531"/>
    <s v="Heidi"/>
    <s v="Garcia"/>
    <x v="4"/>
    <x v="28"/>
    <s v="Active"/>
    <s v="7/23/2020"/>
    <n v="106922.49"/>
    <s v="heidi.garcia@example.com"/>
    <n v="-8811616201"/>
    <x v="1"/>
    <b v="1"/>
    <d v="2020-07-23T00:00:00"/>
    <x v="5"/>
    <x v="3"/>
    <x v="2"/>
    <m/>
  </r>
  <r>
    <n v="532"/>
    <x v="532"/>
    <s v="Eva"/>
    <s v="Smith"/>
    <x v="4"/>
    <x v="0"/>
    <s v="Inactive"/>
    <s v="2/21/2024"/>
    <n v="58113.07"/>
    <s v="eva.smith@example.com"/>
    <n v="-8123710671"/>
    <x v="0"/>
    <b v="1"/>
    <d v="2024-02-21T00:00:00"/>
    <x v="0"/>
    <x v="0"/>
    <x v="0"/>
    <m/>
  </r>
  <r>
    <n v="533"/>
    <x v="533"/>
    <s v="Alice"/>
    <s v="Smith"/>
    <x v="0"/>
    <x v="2"/>
    <s v="Pending"/>
    <s v="12/15/2020"/>
    <n v="73006.259999999995"/>
    <s v="alice.smith@example.com"/>
    <n v="-8728660415"/>
    <x v="3"/>
    <b v="1"/>
    <d v="2020-12-15T00:00:00"/>
    <x v="2"/>
    <x v="2"/>
    <x v="1"/>
    <m/>
  </r>
  <r>
    <n v="534"/>
    <x v="534"/>
    <s v="Eva"/>
    <s v="Williams"/>
    <x v="0"/>
    <x v="21"/>
    <s v="Active"/>
    <s v="8/21/2020"/>
    <n v="78054.429999999993"/>
    <s v="eva.williams@example.com"/>
    <n v="-4485959223"/>
    <x v="3"/>
    <b v="1"/>
    <d v="2020-08-21T00:00:00"/>
    <x v="5"/>
    <x v="0"/>
    <x v="1"/>
    <m/>
  </r>
  <r>
    <n v="535"/>
    <x v="535"/>
    <s v="Eva"/>
    <s v="Miller"/>
    <x v="2"/>
    <x v="31"/>
    <s v="Inactive"/>
    <s v="8/21/2023"/>
    <n v="112028.67"/>
    <s v="eva.miller@example.com"/>
    <n v="-8395894772"/>
    <x v="1"/>
    <b v="0"/>
    <d v="2023-08-21T00:00:00"/>
    <x v="0"/>
    <x v="3"/>
    <x v="1"/>
    <m/>
  </r>
  <r>
    <n v="536"/>
    <x v="536"/>
    <s v="Charlie"/>
    <s v="Garcia"/>
    <x v="0"/>
    <x v="16"/>
    <s v="Inactive"/>
    <s v="4/24/2023"/>
    <n v="83787.240000000005"/>
    <s v="charlie.garcia@example.com"/>
    <n v="-5228705621"/>
    <x v="2"/>
    <b v="1"/>
    <d v="2023-04-24T00:00:00"/>
    <x v="2"/>
    <x v="1"/>
    <x v="2"/>
    <m/>
  </r>
  <r>
    <n v="537"/>
    <x v="537"/>
    <s v="Heidi"/>
    <s v="Davis"/>
    <x v="3"/>
    <x v="9"/>
    <s v="Inactive"/>
    <s v="06/06/2023"/>
    <n v="52017.14"/>
    <s v="heidi.davis@example.com"/>
    <n v="-7104331874"/>
    <x v="0"/>
    <b v="1"/>
    <d v="2023-06-06T00:00:00"/>
    <x v="4"/>
    <x v="3"/>
    <x v="1"/>
    <m/>
  </r>
  <r>
    <n v="538"/>
    <x v="538"/>
    <s v="Charlie"/>
    <s v="Jones"/>
    <x v="2"/>
    <x v="1"/>
    <s v="Inactive"/>
    <s v="6/21/2022"/>
    <n v="53218.06"/>
    <s v="charlie.jones@example.com"/>
    <n v="-1097921582"/>
    <x v="0"/>
    <b v="0"/>
    <d v="2022-06-21T00:00:00"/>
    <x v="1"/>
    <x v="1"/>
    <x v="0"/>
    <m/>
  </r>
  <r>
    <n v="539"/>
    <x v="539"/>
    <s v="Frank"/>
    <s v="Johnson"/>
    <x v="0"/>
    <x v="35"/>
    <s v="Pending"/>
    <s v="4/20/2024"/>
    <n v="102053.67"/>
    <s v="frank.johnson@example.com"/>
    <n v="-5034469458"/>
    <x v="0"/>
    <b v="0"/>
    <d v="2024-04-20T00:00:00"/>
    <x v="0"/>
    <x v="2"/>
    <x v="1"/>
    <m/>
  </r>
  <r>
    <n v="540"/>
    <x v="540"/>
    <s v="David"/>
    <s v="Davis"/>
    <x v="4"/>
    <x v="14"/>
    <s v="Pending"/>
    <s v="12/05/2023"/>
    <n v="93276.73"/>
    <s v="david.davis@example.com"/>
    <n v="-6488319212"/>
    <x v="0"/>
    <b v="0"/>
    <d v="2023-12-05T00:00:00"/>
    <x v="4"/>
    <x v="5"/>
    <x v="1"/>
    <m/>
  </r>
  <r>
    <n v="541"/>
    <x v="541"/>
    <s v="David"/>
    <s v="Johnson"/>
    <x v="2"/>
    <x v="22"/>
    <s v="Pending"/>
    <s v="08/06/2023"/>
    <n v="76941.36"/>
    <s v="david.johnson@example.com"/>
    <n v="-4249128964"/>
    <x v="3"/>
    <b v="1"/>
    <d v="2023-08-06T00:00:00"/>
    <x v="5"/>
    <x v="2"/>
    <x v="1"/>
    <m/>
  </r>
  <r>
    <n v="542"/>
    <x v="542"/>
    <s v="Alice"/>
    <s v="Williams"/>
    <x v="0"/>
    <x v="5"/>
    <s v="Pending"/>
    <s v="10/04/2024"/>
    <n v="82850.23"/>
    <s v="alice.williams@example.com"/>
    <n v="-9994973202"/>
    <x v="3"/>
    <b v="0"/>
    <d v="2024-10-04T00:00:00"/>
    <x v="0"/>
    <x v="4"/>
    <x v="0"/>
    <m/>
  </r>
  <r>
    <n v="543"/>
    <x v="543"/>
    <s v="Charlie"/>
    <s v="Johnson"/>
    <x v="0"/>
    <x v="8"/>
    <s v="Active"/>
    <s v="11/08/2021"/>
    <n v="117910.15"/>
    <s v="charlie.johnson@example.com"/>
    <n v="-3192227050"/>
    <x v="2"/>
    <b v="0"/>
    <d v="2021-11-08T00:00:00"/>
    <x v="1"/>
    <x v="0"/>
    <x v="2"/>
    <m/>
  </r>
  <r>
    <n v="544"/>
    <x v="544"/>
    <s v="David"/>
    <s v="Smith"/>
    <x v="1"/>
    <x v="31"/>
    <s v="Inactive"/>
    <s v="7/31/2024"/>
    <n v="66450"/>
    <s v="david.smith@example.com"/>
    <n v="-287675480"/>
    <x v="0"/>
    <b v="1"/>
    <d v="2024-07-31T00:00:00"/>
    <x v="0"/>
    <x v="3"/>
    <x v="0"/>
    <m/>
  </r>
  <r>
    <n v="545"/>
    <x v="545"/>
    <s v="Heidi"/>
    <s v="Garcia"/>
    <x v="0"/>
    <x v="18"/>
    <s v="Inactive"/>
    <s v="8/31/2020"/>
    <n v="118646.95"/>
    <s v="heidi.garcia@example.com"/>
    <n v="-3866675484"/>
    <x v="0"/>
    <b v="0"/>
    <d v="2020-08-31T00:00:00"/>
    <x v="1"/>
    <x v="3"/>
    <x v="2"/>
    <m/>
  </r>
  <r>
    <n v="546"/>
    <x v="546"/>
    <s v="Alice"/>
    <s v="Jones"/>
    <x v="0"/>
    <x v="18"/>
    <s v="Active"/>
    <s v="2/15/2023"/>
    <n v="88436.92"/>
    <s v="alice.jones@example.com"/>
    <n v="-8193242686"/>
    <x v="1"/>
    <b v="0"/>
    <d v="2023-02-15T00:00:00"/>
    <x v="1"/>
    <x v="3"/>
    <x v="1"/>
    <m/>
  </r>
  <r>
    <n v="547"/>
    <x v="547"/>
    <s v="Eva"/>
    <s v="Brown"/>
    <x v="1"/>
    <x v="17"/>
    <s v="Pending"/>
    <s v="10/07/2023"/>
    <n v="81934.55"/>
    <s v="eva.brown@example.com"/>
    <n v="-7418652056"/>
    <x v="3"/>
    <b v="0"/>
    <d v="2023-10-07T00:00:00"/>
    <x v="4"/>
    <x v="4"/>
    <x v="1"/>
    <m/>
  </r>
  <r>
    <n v="548"/>
    <x v="548"/>
    <s v="Alice"/>
    <s v="Johnson"/>
    <x v="3"/>
    <x v="8"/>
    <s v="Pending"/>
    <s v="4/20/2024"/>
    <n v="93383.06"/>
    <s v="alice.johnson@example.com"/>
    <n v="-5639836519"/>
    <x v="0"/>
    <b v="0"/>
    <d v="2024-04-20T00:00:00"/>
    <x v="1"/>
    <x v="0"/>
    <x v="1"/>
    <m/>
  </r>
  <r>
    <n v="549"/>
    <x v="549"/>
    <s v="Frank"/>
    <s v="Davis"/>
    <x v="2"/>
    <x v="23"/>
    <s v="Pending"/>
    <s v="3/30/2021"/>
    <n v="50153.79"/>
    <s v="frank.davis@example.com"/>
    <n v="-3758309450"/>
    <x v="2"/>
    <b v="1"/>
    <d v="2021-03-30T00:00:00"/>
    <x v="3"/>
    <x v="1"/>
    <x v="0"/>
    <m/>
  </r>
  <r>
    <n v="550"/>
    <x v="550"/>
    <s v="Eva"/>
    <s v="Smith"/>
    <x v="1"/>
    <x v="24"/>
    <s v="Pending"/>
    <s v="08/05/2020"/>
    <n v="53204.47"/>
    <s v="eva.smith@example.com"/>
    <n v="-5480940475"/>
    <x v="2"/>
    <b v="0"/>
    <d v="2020-08-05T00:00:00"/>
    <x v="4"/>
    <x v="0"/>
    <x v="1"/>
    <m/>
  </r>
  <r>
    <n v="551"/>
    <x v="551"/>
    <s v="Charlie"/>
    <s v="Brown"/>
    <x v="2"/>
    <x v="34"/>
    <s v="Pending"/>
    <s v="02/05/2021"/>
    <n v="63128.04"/>
    <s v="charlie.brown@example.com"/>
    <n v="-440907976"/>
    <x v="3"/>
    <b v="0"/>
    <d v="2021-02-05T00:00:00"/>
    <x v="3"/>
    <x v="0"/>
    <x v="0"/>
    <m/>
  </r>
  <r>
    <n v="552"/>
    <x v="552"/>
    <s v="Grace"/>
    <s v="Jones"/>
    <x v="3"/>
    <x v="30"/>
    <s v="Pending"/>
    <s v="11/23/2021"/>
    <n v="57543.6"/>
    <s v="grace.jones@example.com"/>
    <n v="-2781050921"/>
    <x v="2"/>
    <b v="1"/>
    <d v="2021-11-23T00:00:00"/>
    <x v="1"/>
    <x v="4"/>
    <x v="0"/>
    <m/>
  </r>
  <r>
    <n v="553"/>
    <x v="553"/>
    <s v="Bob"/>
    <s v="Brown"/>
    <x v="2"/>
    <x v="15"/>
    <s v="Pending"/>
    <s v="10/29/2022"/>
    <n v="59424.52"/>
    <s v="bob.brown@example.com"/>
    <n v="-2161070517"/>
    <x v="2"/>
    <b v="0"/>
    <d v="2022-10-29T00:00:00"/>
    <x v="1"/>
    <x v="2"/>
    <x v="0"/>
    <m/>
  </r>
  <r>
    <n v="554"/>
    <x v="554"/>
    <s v="Alice"/>
    <s v="Smith"/>
    <x v="1"/>
    <x v="33"/>
    <s v="Inactive"/>
    <s v="11/07/2022"/>
    <n v="104675.7"/>
    <s v="alice.smith@example.com"/>
    <n v="-4390552957"/>
    <x v="3"/>
    <b v="1"/>
    <d v="2022-11-07T00:00:00"/>
    <x v="1"/>
    <x v="5"/>
    <x v="1"/>
    <m/>
  </r>
  <r>
    <n v="555"/>
    <x v="555"/>
    <s v="Charlie"/>
    <s v="Garcia"/>
    <x v="3"/>
    <x v="3"/>
    <s v="Pending"/>
    <s v="5/14/2023"/>
    <n v="92431.25"/>
    <s v="charlie.garcia@example.com"/>
    <n v="-660138240"/>
    <x v="0"/>
    <b v="0"/>
    <d v="2023-05-14T00:00:00"/>
    <x v="3"/>
    <x v="3"/>
    <x v="1"/>
    <m/>
  </r>
  <r>
    <n v="556"/>
    <x v="556"/>
    <s v="Grace"/>
    <s v="Garcia"/>
    <x v="2"/>
    <x v="29"/>
    <s v="Active"/>
    <s v="7/14/2021"/>
    <n v="77850.899999999994"/>
    <s v="grace.garcia@example.com"/>
    <n v="-2704938619"/>
    <x v="0"/>
    <b v="1"/>
    <d v="2021-07-14T00:00:00"/>
    <x v="4"/>
    <x v="2"/>
    <x v="1"/>
    <m/>
  </r>
  <r>
    <n v="557"/>
    <x v="557"/>
    <s v="Eva"/>
    <s v="Miller"/>
    <x v="2"/>
    <x v="26"/>
    <s v="Inactive"/>
    <s v="5/18/2023"/>
    <n v="99001"/>
    <s v="eva.miller@example.com"/>
    <n v="-4485157918"/>
    <x v="2"/>
    <b v="1"/>
    <d v="2023-05-18T00:00:00"/>
    <x v="2"/>
    <x v="4"/>
    <x v="2"/>
    <m/>
  </r>
  <r>
    <n v="558"/>
    <x v="558"/>
    <s v="Eva"/>
    <s v="Garcia"/>
    <x v="1"/>
    <x v="22"/>
    <s v="Pending"/>
    <s v="02/07/2023"/>
    <n v="94280.83"/>
    <s v="eva.garcia@example.com"/>
    <n v="-7111212589"/>
    <x v="2"/>
    <b v="1"/>
    <d v="2023-02-07T00:00:00"/>
    <x v="5"/>
    <x v="2"/>
    <x v="2"/>
    <m/>
  </r>
  <r>
    <n v="559"/>
    <x v="559"/>
    <s v="Eva"/>
    <s v="Miller"/>
    <x v="4"/>
    <x v="5"/>
    <s v="Pending"/>
    <s v="8/24/2023"/>
    <n v="118262.56"/>
    <s v="eva.miller@example.com"/>
    <n v="-2035713431"/>
    <x v="0"/>
    <b v="1"/>
    <d v="2023-08-24T00:00:00"/>
    <x v="0"/>
    <x v="4"/>
    <x v="1"/>
    <m/>
  </r>
  <r>
    <n v="560"/>
    <x v="560"/>
    <s v="Frank"/>
    <s v="Brown"/>
    <x v="0"/>
    <x v="25"/>
    <s v="Inactive"/>
    <s v="04/08/2023"/>
    <n v="89944.67"/>
    <s v="frank.brown@example.com"/>
    <n v="-4064242955"/>
    <x v="3"/>
    <b v="0"/>
    <d v="2023-04-08T00:00:00"/>
    <x v="5"/>
    <x v="5"/>
    <x v="2"/>
    <m/>
  </r>
  <r>
    <n v="561"/>
    <x v="561"/>
    <s v="Grace"/>
    <s v="Williams"/>
    <x v="1"/>
    <x v="28"/>
    <s v="Active"/>
    <s v="12/06/2022"/>
    <n v="57452.93"/>
    <s v="grace.williams@example.com"/>
    <n v="-3343244740"/>
    <x v="2"/>
    <b v="1"/>
    <d v="2022-12-06T00:00:00"/>
    <x v="5"/>
    <x v="3"/>
    <x v="1"/>
    <m/>
  </r>
  <r>
    <n v="562"/>
    <x v="562"/>
    <s v="Alice"/>
    <s v="Davis"/>
    <x v="0"/>
    <x v="19"/>
    <s v="Active"/>
    <s v="08/09/2021"/>
    <n v="97837.32"/>
    <s v="alice.davis@example.com"/>
    <n v="-7595587208"/>
    <x v="1"/>
    <b v="0"/>
    <d v="2021-08-09T00:00:00"/>
    <x v="2"/>
    <x v="0"/>
    <x v="2"/>
    <m/>
  </r>
  <r>
    <n v="563"/>
    <x v="563"/>
    <s v="Alice"/>
    <s v="Davis"/>
    <x v="4"/>
    <x v="12"/>
    <s v="Active"/>
    <s v="01/04/2022"/>
    <n v="106981.84"/>
    <s v="alice.davis@example.com"/>
    <n v="-6289365434"/>
    <x v="3"/>
    <b v="1"/>
    <d v="2022-01-04T00:00:00"/>
    <x v="2"/>
    <x v="5"/>
    <x v="2"/>
    <m/>
  </r>
  <r>
    <n v="564"/>
    <x v="564"/>
    <s v="David"/>
    <s v="Brown"/>
    <x v="1"/>
    <x v="30"/>
    <s v="Pending"/>
    <s v="5/25/2024"/>
    <n v="105778.36"/>
    <s v="david.brown@example.com"/>
    <n v="-8841834373"/>
    <x v="2"/>
    <b v="1"/>
    <d v="2024-05-25T00:00:00"/>
    <x v="1"/>
    <x v="4"/>
    <x v="2"/>
    <m/>
  </r>
  <r>
    <n v="565"/>
    <x v="565"/>
    <s v="Alice"/>
    <s v="Johnson"/>
    <x v="2"/>
    <x v="18"/>
    <s v="Pending"/>
    <s v="10/02/2021"/>
    <n v="117608.32000000001"/>
    <s v="alice.johnson@example.com"/>
    <n v="-182727954"/>
    <x v="2"/>
    <b v="1"/>
    <d v="2021-10-02T00:00:00"/>
    <x v="1"/>
    <x v="3"/>
    <x v="2"/>
    <m/>
  </r>
  <r>
    <n v="566"/>
    <x v="566"/>
    <s v="Eva"/>
    <s v="Johnson"/>
    <x v="3"/>
    <x v="9"/>
    <s v="Active"/>
    <s v="7/21/2023"/>
    <n v="99324.03"/>
    <s v="eva.johnson@example.com"/>
    <n v="-9690515025"/>
    <x v="1"/>
    <b v="0"/>
    <d v="2023-07-21T00:00:00"/>
    <x v="4"/>
    <x v="3"/>
    <x v="2"/>
    <m/>
  </r>
  <r>
    <n v="567"/>
    <x v="567"/>
    <s v="David"/>
    <s v="Garcia"/>
    <x v="3"/>
    <x v="28"/>
    <s v="Active"/>
    <s v="10/30/2023"/>
    <n v="55212.83"/>
    <s v="david.garcia@example.com"/>
    <n v="-7551254277"/>
    <x v="1"/>
    <b v="1"/>
    <d v="2023-10-30T00:00:00"/>
    <x v="5"/>
    <x v="3"/>
    <x v="1"/>
    <m/>
  </r>
  <r>
    <n v="568"/>
    <x v="568"/>
    <s v="Bob"/>
    <s v="Davis"/>
    <x v="2"/>
    <x v="3"/>
    <s v="Inactive"/>
    <s v="2/13/2023"/>
    <n v="68496.77"/>
    <s v="bob.davis@example.com"/>
    <n v="-2079799666"/>
    <x v="0"/>
    <b v="0"/>
    <d v="2023-02-13T00:00:00"/>
    <x v="3"/>
    <x v="3"/>
    <x v="0"/>
    <m/>
  </r>
  <r>
    <n v="569"/>
    <x v="569"/>
    <s v="Eva"/>
    <s v="Davis"/>
    <x v="0"/>
    <x v="28"/>
    <s v="Pending"/>
    <s v="11/13/2020"/>
    <n v="52795.839999999997"/>
    <s v="eva.davis@example.com"/>
    <n v="-3459576402"/>
    <x v="3"/>
    <b v="0"/>
    <d v="2020-11-13T00:00:00"/>
    <x v="5"/>
    <x v="3"/>
    <x v="1"/>
    <m/>
  </r>
  <r>
    <n v="570"/>
    <x v="570"/>
    <s v="Alice"/>
    <s v="Miller"/>
    <x v="1"/>
    <x v="0"/>
    <s v="Inactive"/>
    <s v="06/05/2024"/>
    <n v="90087.39"/>
    <s v="alice.miller@example.com"/>
    <n v="-8166496901"/>
    <x v="3"/>
    <b v="0"/>
    <d v="2024-06-05T00:00:00"/>
    <x v="0"/>
    <x v="0"/>
    <x v="1"/>
    <m/>
  </r>
  <r>
    <n v="571"/>
    <x v="571"/>
    <s v="Frank"/>
    <s v="Williams"/>
    <x v="1"/>
    <x v="26"/>
    <s v="Pending"/>
    <s v="5/19/2020"/>
    <n v="105038.08"/>
    <s v="frank.williams@example.com"/>
    <n v="-8249839224"/>
    <x v="0"/>
    <b v="0"/>
    <d v="2020-05-19T00:00:00"/>
    <x v="2"/>
    <x v="4"/>
    <x v="2"/>
    <m/>
  </r>
  <r>
    <n v="572"/>
    <x v="572"/>
    <s v="Grace"/>
    <s v="Smith"/>
    <x v="0"/>
    <x v="7"/>
    <s v="Active"/>
    <s v="9/20/2023"/>
    <n v="73231.850000000006"/>
    <s v="grace.smith@example.com"/>
    <n v="-142576269"/>
    <x v="3"/>
    <b v="0"/>
    <d v="2023-09-20T00:00:00"/>
    <x v="5"/>
    <x v="4"/>
    <x v="1"/>
    <m/>
  </r>
  <r>
    <n v="573"/>
    <x v="573"/>
    <s v="David"/>
    <s v="Johnson"/>
    <x v="1"/>
    <x v="9"/>
    <s v="Pending"/>
    <s v="8/13/2024"/>
    <n v="102649.36"/>
    <s v="david.johnson@example.com"/>
    <n v="-2324412335"/>
    <x v="3"/>
    <b v="0"/>
    <d v="2024-08-13T00:00:00"/>
    <x v="4"/>
    <x v="3"/>
    <x v="2"/>
    <m/>
  </r>
  <r>
    <n v="574"/>
    <x v="574"/>
    <s v="Bob"/>
    <s v="Davis"/>
    <x v="4"/>
    <x v="30"/>
    <s v="Pending"/>
    <s v="06/10/2023"/>
    <n v="114302.51"/>
    <s v="bob.davis@example.com"/>
    <n v="-1328507250"/>
    <x v="3"/>
    <b v="0"/>
    <d v="2023-06-10T00:00:00"/>
    <x v="1"/>
    <x v="4"/>
    <x v="2"/>
    <m/>
  </r>
  <r>
    <n v="575"/>
    <x v="575"/>
    <s v="Alice"/>
    <s v="Miller"/>
    <x v="4"/>
    <x v="1"/>
    <s v="Inactive"/>
    <s v="06/09/2021"/>
    <n v="87816.61"/>
    <s v="alice.miller@example.com"/>
    <n v="-7863767315"/>
    <x v="3"/>
    <b v="0"/>
    <d v="2021-06-09T00:00:00"/>
    <x v="1"/>
    <x v="1"/>
    <x v="1"/>
    <m/>
  </r>
  <r>
    <n v="576"/>
    <x v="576"/>
    <s v="Frank"/>
    <s v="Jones"/>
    <x v="1"/>
    <x v="9"/>
    <s v="Inactive"/>
    <s v="3/30/2020"/>
    <n v="70750.38"/>
    <s v="frank.jones@example.com"/>
    <n v="-2526546967"/>
    <x v="3"/>
    <b v="0"/>
    <d v="2020-03-30T00:00:00"/>
    <x v="4"/>
    <x v="3"/>
    <x v="1"/>
    <m/>
  </r>
  <r>
    <n v="577"/>
    <x v="577"/>
    <s v="Frank"/>
    <s v="Miller"/>
    <x v="1"/>
    <x v="23"/>
    <s v="Active"/>
    <s v="05/02/2024"/>
    <n v="85165.05"/>
    <s v="frank.miller@example.com"/>
    <n v="-1579039234"/>
    <x v="1"/>
    <b v="1"/>
    <d v="2024-05-02T00:00:00"/>
    <x v="3"/>
    <x v="1"/>
    <x v="1"/>
    <m/>
  </r>
  <r>
    <n v="578"/>
    <x v="578"/>
    <s v="Bob"/>
    <s v="Johnson"/>
    <x v="3"/>
    <x v="35"/>
    <s v="Active"/>
    <s v="11/06/2024"/>
    <n v="97978.36"/>
    <s v="bob.johnson@example.com"/>
    <n v="-5580996131"/>
    <x v="3"/>
    <b v="1"/>
    <d v="2024-11-06T00:00:00"/>
    <x v="0"/>
    <x v="2"/>
    <x v="1"/>
    <m/>
  </r>
  <r>
    <n v="579"/>
    <x v="579"/>
    <s v="David"/>
    <s v="Johnson"/>
    <x v="1"/>
    <x v="35"/>
    <s v="Inactive"/>
    <s v="8/17/2023"/>
    <n v="107172.8"/>
    <s v="david.johnson@example.com"/>
    <n v="-7303461561"/>
    <x v="1"/>
    <b v="1"/>
    <d v="2023-08-17T00:00:00"/>
    <x v="0"/>
    <x v="2"/>
    <x v="1"/>
    <m/>
  </r>
  <r>
    <n v="580"/>
    <x v="580"/>
    <s v="Charlie"/>
    <s v="Miller"/>
    <x v="0"/>
    <x v="15"/>
    <s v="Inactive"/>
    <s v="3/18/2020"/>
    <n v="56126.46"/>
    <s v="charlie.miller@example.com"/>
    <n v="-6244670461"/>
    <x v="3"/>
    <b v="1"/>
    <d v="2020-03-18T00:00:00"/>
    <x v="1"/>
    <x v="2"/>
    <x v="0"/>
    <m/>
  </r>
  <r>
    <n v="581"/>
    <x v="581"/>
    <s v="Eva"/>
    <s v="Smith"/>
    <x v="1"/>
    <x v="13"/>
    <s v="Active"/>
    <s v="6/13/2021"/>
    <n v="78534.289999999994"/>
    <s v="eva.smith@example.com"/>
    <n v="-2681715159"/>
    <x v="0"/>
    <b v="1"/>
    <d v="2021-06-13T00:00:00"/>
    <x v="3"/>
    <x v="5"/>
    <x v="0"/>
    <m/>
  </r>
  <r>
    <n v="582"/>
    <x v="582"/>
    <s v="Grace"/>
    <s v="Brown"/>
    <x v="2"/>
    <x v="20"/>
    <s v="Inactive"/>
    <s v="10/10/2023"/>
    <n v="85165.05"/>
    <s v="grace.brown@example.com"/>
    <n v="-2529867075"/>
    <x v="2"/>
    <b v="0"/>
    <d v="2023-10-10T00:00:00"/>
    <x v="5"/>
    <x v="1"/>
    <x v="2"/>
    <m/>
  </r>
  <r>
    <n v="583"/>
    <x v="583"/>
    <s v="Bob"/>
    <s v="Johnson"/>
    <x v="1"/>
    <x v="11"/>
    <s v="Active"/>
    <s v="01/02/2022"/>
    <n v="114963.34"/>
    <s v="bob.johnson@example.com"/>
    <n v="-6046419784"/>
    <x v="1"/>
    <b v="0"/>
    <d v="2022-01-02T00:00:00"/>
    <x v="3"/>
    <x v="2"/>
    <x v="1"/>
    <m/>
  </r>
  <r>
    <n v="584"/>
    <x v="584"/>
    <s v="Eva"/>
    <s v="Miller"/>
    <x v="1"/>
    <x v="34"/>
    <s v="Inactive"/>
    <s v="2/20/2022"/>
    <n v="77657.929999999993"/>
    <s v="eva.miller@example.com"/>
    <n v="-7585126860"/>
    <x v="3"/>
    <b v="0"/>
    <d v="2022-02-20T00:00:00"/>
    <x v="3"/>
    <x v="0"/>
    <x v="0"/>
    <m/>
  </r>
  <r>
    <n v="585"/>
    <x v="585"/>
    <s v="Heidi"/>
    <s v="Davis"/>
    <x v="3"/>
    <x v="17"/>
    <s v="Active"/>
    <s v="03/09/2024"/>
    <n v="77369.48"/>
    <s v="heidi.davis@example.com"/>
    <n v="-2059438975"/>
    <x v="0"/>
    <b v="0"/>
    <d v="2024-03-09T00:00:00"/>
    <x v="4"/>
    <x v="4"/>
    <x v="1"/>
    <m/>
  </r>
  <r>
    <n v="586"/>
    <x v="586"/>
    <s v="Eva"/>
    <s v="Miller"/>
    <x v="3"/>
    <x v="22"/>
    <s v="Pending"/>
    <s v="8/19/2023"/>
    <n v="76119.14"/>
    <s v="eva.miller@example.com"/>
    <n v="-740177508"/>
    <x v="2"/>
    <b v="0"/>
    <d v="2023-08-19T00:00:00"/>
    <x v="5"/>
    <x v="2"/>
    <x v="1"/>
    <m/>
  </r>
  <r>
    <n v="587"/>
    <x v="587"/>
    <s v="Charlie"/>
    <s v="Williams"/>
    <x v="0"/>
    <x v="23"/>
    <s v="Pending"/>
    <s v="05/06/2023"/>
    <n v="77585.72"/>
    <s v="charlie.williams@example.com"/>
    <n v="-5465408423"/>
    <x v="1"/>
    <b v="0"/>
    <d v="2023-05-06T00:00:00"/>
    <x v="3"/>
    <x v="1"/>
    <x v="0"/>
    <m/>
  </r>
  <r>
    <n v="588"/>
    <x v="588"/>
    <s v="Bob"/>
    <s v="Brown"/>
    <x v="4"/>
    <x v="2"/>
    <s v="Pending"/>
    <s v="1/26/2024"/>
    <n v="74069.62"/>
    <s v="bob.brown@example.com"/>
    <n v="-5607540914"/>
    <x v="2"/>
    <b v="0"/>
    <d v="2024-01-26T00:00:00"/>
    <x v="2"/>
    <x v="2"/>
    <x v="1"/>
    <m/>
  </r>
  <r>
    <n v="589"/>
    <x v="589"/>
    <s v="Charlie"/>
    <s v="Jones"/>
    <x v="3"/>
    <x v="26"/>
    <s v="Pending"/>
    <s v="09/05/2024"/>
    <n v="67691.92"/>
    <s v="charlie.jones@example.com"/>
    <n v="-863218121"/>
    <x v="0"/>
    <b v="1"/>
    <d v="2024-09-05T00:00:00"/>
    <x v="2"/>
    <x v="4"/>
    <x v="1"/>
    <m/>
  </r>
  <r>
    <n v="590"/>
    <x v="590"/>
    <s v="Alice"/>
    <s v="Smith"/>
    <x v="1"/>
    <x v="15"/>
    <s v="Pending"/>
    <s v="5/29/2020"/>
    <n v="70345.69"/>
    <s v="alice.smith@example.com"/>
    <n v="-7645793896"/>
    <x v="1"/>
    <b v="1"/>
    <d v="2020-05-29T00:00:00"/>
    <x v="1"/>
    <x v="2"/>
    <x v="1"/>
    <m/>
  </r>
  <r>
    <n v="591"/>
    <x v="591"/>
    <s v="Bob"/>
    <s v="Garcia"/>
    <x v="3"/>
    <x v="10"/>
    <s v="Inactive"/>
    <s v="11/08/2021"/>
    <n v="74999.69"/>
    <s v="bob.garcia@example.com"/>
    <n v="-155029167"/>
    <x v="2"/>
    <b v="1"/>
    <d v="2021-11-08T00:00:00"/>
    <x v="0"/>
    <x v="5"/>
    <x v="0"/>
    <m/>
  </r>
  <r>
    <n v="592"/>
    <x v="592"/>
    <s v="David"/>
    <s v="Jones"/>
    <x v="0"/>
    <x v="25"/>
    <s v="Active"/>
    <s v="1/31/2021"/>
    <n v="72245.02"/>
    <s v="david.jones@example.com"/>
    <n v="-1546602415"/>
    <x v="3"/>
    <b v="1"/>
    <d v="2021-01-31T00:00:00"/>
    <x v="5"/>
    <x v="5"/>
    <x v="1"/>
    <m/>
  </r>
  <r>
    <n v="593"/>
    <x v="593"/>
    <s v="Eva"/>
    <s v="Brown"/>
    <x v="1"/>
    <x v="12"/>
    <s v="Pending"/>
    <s v="1/16/2022"/>
    <n v="106538.98"/>
    <s v="eva.brown@example.com"/>
    <n v="-1394498829"/>
    <x v="1"/>
    <b v="0"/>
    <d v="2022-01-16T00:00:00"/>
    <x v="2"/>
    <x v="5"/>
    <x v="2"/>
    <m/>
  </r>
  <r>
    <n v="594"/>
    <x v="594"/>
    <s v="Charlie"/>
    <s v="Brown"/>
    <x v="0"/>
    <x v="7"/>
    <s v="Active"/>
    <s v="12/29/2023"/>
    <n v="101787.14"/>
    <s v="charlie.brown@example.com"/>
    <n v="-5973642479"/>
    <x v="2"/>
    <b v="0"/>
    <d v="2023-12-29T00:00:00"/>
    <x v="5"/>
    <x v="4"/>
    <x v="2"/>
    <m/>
  </r>
  <r>
    <n v="595"/>
    <x v="595"/>
    <s v="Frank"/>
    <s v="Brown"/>
    <x v="3"/>
    <x v="35"/>
    <s v="Inactive"/>
    <s v="12/02/2024"/>
    <n v="83596.78"/>
    <s v="frank.brown@example.com"/>
    <n v="-9624406305"/>
    <x v="0"/>
    <b v="0"/>
    <d v="2024-12-02T00:00:00"/>
    <x v="0"/>
    <x v="2"/>
    <x v="0"/>
    <m/>
  </r>
  <r>
    <n v="596"/>
    <x v="596"/>
    <s v="Eva"/>
    <s v="Jones"/>
    <x v="2"/>
    <x v="4"/>
    <s v="Active"/>
    <s v="8/15/2023"/>
    <n v="92463.94"/>
    <s v="eva.jones@example.com"/>
    <n v="-2447951329"/>
    <x v="0"/>
    <b v="1"/>
    <d v="2023-08-15T00:00:00"/>
    <x v="4"/>
    <x v="1"/>
    <x v="1"/>
    <m/>
  </r>
  <r>
    <n v="597"/>
    <x v="597"/>
    <s v="Charlie"/>
    <s v="Davis"/>
    <x v="1"/>
    <x v="19"/>
    <s v="Pending"/>
    <s v="12/20/2024"/>
    <n v="93863.32"/>
    <s v="charlie.davis@example.com"/>
    <n v="-5319497968"/>
    <x v="1"/>
    <b v="0"/>
    <d v="2024-12-20T00:00:00"/>
    <x v="2"/>
    <x v="0"/>
    <x v="2"/>
    <m/>
  </r>
  <r>
    <n v="598"/>
    <x v="598"/>
    <s v="Alice"/>
    <s v="Brown"/>
    <x v="1"/>
    <x v="32"/>
    <s v="Pending"/>
    <s v="3/31/2023"/>
    <n v="78359.41"/>
    <s v="alice.brown@example.com"/>
    <n v="-5867805554"/>
    <x v="2"/>
    <b v="0"/>
    <d v="2023-03-31T00:00:00"/>
    <x v="0"/>
    <x v="1"/>
    <x v="0"/>
    <m/>
  </r>
  <r>
    <n v="599"/>
    <x v="599"/>
    <s v="Alice"/>
    <s v="Miller"/>
    <x v="1"/>
    <x v="25"/>
    <s v="Pending"/>
    <s v="8/24/2022"/>
    <n v="95773.57"/>
    <s v="alice.miller@example.com"/>
    <n v="-7277382645"/>
    <x v="1"/>
    <b v="0"/>
    <d v="2022-08-24T00:00:00"/>
    <x v="5"/>
    <x v="5"/>
    <x v="2"/>
    <m/>
  </r>
  <r>
    <n v="600"/>
    <x v="600"/>
    <s v="Grace"/>
    <s v="Jones"/>
    <x v="3"/>
    <x v="29"/>
    <s v="Inactive"/>
    <s v="10/01/2020"/>
    <n v="82529.08"/>
    <s v="grace.jones@example.com"/>
    <n v="-917851384"/>
    <x v="1"/>
    <b v="1"/>
    <d v="2020-10-01T00:00:00"/>
    <x v="4"/>
    <x v="2"/>
    <x v="1"/>
    <m/>
  </r>
  <r>
    <n v="601"/>
    <x v="601"/>
    <s v="Grace"/>
    <s v="Garcia"/>
    <x v="4"/>
    <x v="4"/>
    <s v="Pending"/>
    <s v="05/04/2021"/>
    <n v="109358.73"/>
    <s v="grace.garcia@example.com"/>
    <n v="-4457702991"/>
    <x v="2"/>
    <b v="0"/>
    <d v="2021-05-04T00:00:00"/>
    <x v="4"/>
    <x v="1"/>
    <x v="2"/>
    <m/>
  </r>
  <r>
    <n v="602"/>
    <x v="602"/>
    <s v="Charlie"/>
    <s v="Brown"/>
    <x v="1"/>
    <x v="27"/>
    <s v="Active"/>
    <s v="01/01/2021"/>
    <n v="89645.01"/>
    <s v="charlie.brown@example.com"/>
    <n v="-9596604872"/>
    <x v="2"/>
    <b v="1"/>
    <d v="2021-01-01T00:00:00"/>
    <x v="2"/>
    <x v="3"/>
    <x v="2"/>
    <m/>
  </r>
  <r>
    <n v="603"/>
    <x v="603"/>
    <s v="Charlie"/>
    <s v="Miller"/>
    <x v="2"/>
    <x v="20"/>
    <s v="Active"/>
    <s v="04/08/2024"/>
    <n v="84134.95"/>
    <s v="charlie.miller@example.com"/>
    <n v="-6826911632"/>
    <x v="3"/>
    <b v="1"/>
    <d v="2024-04-08T00:00:00"/>
    <x v="5"/>
    <x v="1"/>
    <x v="1"/>
    <m/>
  </r>
  <r>
    <n v="604"/>
    <x v="604"/>
    <s v="Frank"/>
    <s v="Davis"/>
    <x v="3"/>
    <x v="11"/>
    <s v="Active"/>
    <s v="11/26/2022"/>
    <n v="113540.83"/>
    <s v="frank.davis@example.com"/>
    <n v="-1942268652"/>
    <x v="2"/>
    <b v="1"/>
    <d v="2022-11-26T00:00:00"/>
    <x v="3"/>
    <x v="2"/>
    <x v="1"/>
    <m/>
  </r>
  <r>
    <n v="605"/>
    <x v="605"/>
    <s v="Heidi"/>
    <s v="Williams"/>
    <x v="2"/>
    <x v="23"/>
    <s v="Pending"/>
    <s v="10/25/2021"/>
    <n v="57225.75"/>
    <s v="heidi.williams@example.com"/>
    <n v="-6945515887"/>
    <x v="0"/>
    <b v="1"/>
    <d v="2021-10-25T00:00:00"/>
    <x v="3"/>
    <x v="1"/>
    <x v="0"/>
    <m/>
  </r>
  <r>
    <n v="606"/>
    <x v="606"/>
    <s v="Eva"/>
    <s v="Davis"/>
    <x v="4"/>
    <x v="14"/>
    <s v="Pending"/>
    <s v="12/22/2020"/>
    <n v="76366.17"/>
    <s v="eva.davis@example.com"/>
    <n v="-6367747225"/>
    <x v="1"/>
    <b v="0"/>
    <d v="2020-12-22T00:00:00"/>
    <x v="4"/>
    <x v="5"/>
    <x v="1"/>
    <m/>
  </r>
  <r>
    <n v="607"/>
    <x v="607"/>
    <s v="Bob"/>
    <s v="Garcia"/>
    <x v="1"/>
    <x v="28"/>
    <s v="Active"/>
    <s v="11/23/2022"/>
    <n v="78408.95"/>
    <s v="bob.garcia@example.com"/>
    <n v="-4085721695"/>
    <x v="1"/>
    <b v="1"/>
    <d v="2022-11-23T00:00:00"/>
    <x v="5"/>
    <x v="3"/>
    <x v="1"/>
    <m/>
  </r>
  <r>
    <n v="608"/>
    <x v="608"/>
    <s v="Frank"/>
    <s v="Brown"/>
    <x v="2"/>
    <x v="33"/>
    <s v="Active"/>
    <s v="10/24/2022"/>
    <n v="111742.39999999999"/>
    <s v="frank.brown@example.com"/>
    <n v="-6630932997"/>
    <x v="0"/>
    <b v="1"/>
    <d v="2022-10-24T00:00:00"/>
    <x v="1"/>
    <x v="5"/>
    <x v="2"/>
    <m/>
  </r>
  <r>
    <n v="609"/>
    <x v="609"/>
    <s v="David"/>
    <s v="Garcia"/>
    <x v="0"/>
    <x v="29"/>
    <s v="Inactive"/>
    <s v="03/09/2021"/>
    <n v="60516.83"/>
    <s v="david.garcia@example.com"/>
    <n v="-1996059328"/>
    <x v="2"/>
    <b v="0"/>
    <d v="2021-03-09T00:00:00"/>
    <x v="4"/>
    <x v="2"/>
    <x v="1"/>
    <m/>
  </r>
  <r>
    <n v="610"/>
    <x v="610"/>
    <s v="Bob"/>
    <s v="Jones"/>
    <x v="3"/>
    <x v="8"/>
    <s v="Pending"/>
    <s v="8/20/2020"/>
    <n v="83706.17"/>
    <s v="bob.jones@example.com"/>
    <n v="-7150968831"/>
    <x v="0"/>
    <b v="0"/>
    <d v="2020-08-20T00:00:00"/>
    <x v="1"/>
    <x v="0"/>
    <x v="1"/>
    <m/>
  </r>
  <r>
    <n v="611"/>
    <x v="611"/>
    <s v="David"/>
    <s v="Johnson"/>
    <x v="1"/>
    <x v="2"/>
    <s v="Inactive"/>
    <s v="2/15/2020"/>
    <n v="67056.92"/>
    <s v="david.johnson@example.com"/>
    <n v="-7532735240"/>
    <x v="0"/>
    <b v="1"/>
    <d v="2020-02-15T00:00:00"/>
    <x v="2"/>
    <x v="2"/>
    <x v="1"/>
    <m/>
  </r>
  <r>
    <n v="612"/>
    <x v="612"/>
    <s v="Charlie"/>
    <s v="Brown"/>
    <x v="3"/>
    <x v="10"/>
    <s v="Active"/>
    <s v="12/29/2024"/>
    <n v="90058.85"/>
    <s v="charlie.brown@example.com"/>
    <n v="-397739731"/>
    <x v="3"/>
    <b v="0"/>
    <d v="2024-12-29T00:00:00"/>
    <x v="0"/>
    <x v="5"/>
    <x v="1"/>
    <m/>
  </r>
  <r>
    <n v="613"/>
    <x v="613"/>
    <s v="Eva"/>
    <s v="Johnson"/>
    <x v="3"/>
    <x v="9"/>
    <s v="Pending"/>
    <s v="2/28/2023"/>
    <n v="94633.59"/>
    <s v="eva.johnson@example.com"/>
    <n v="-7819523709"/>
    <x v="0"/>
    <b v="1"/>
    <d v="2023-02-28T00:00:00"/>
    <x v="4"/>
    <x v="3"/>
    <x v="1"/>
    <m/>
  </r>
  <r>
    <n v="614"/>
    <x v="614"/>
    <s v="Eva"/>
    <s v="Miller"/>
    <x v="0"/>
    <x v="27"/>
    <s v="Pending"/>
    <s v="8/23/2022"/>
    <n v="110711.17"/>
    <s v="eva.miller@example.com"/>
    <n v="-687616480"/>
    <x v="1"/>
    <b v="1"/>
    <d v="2022-08-23T00:00:00"/>
    <x v="2"/>
    <x v="3"/>
    <x v="2"/>
    <m/>
  </r>
  <r>
    <n v="615"/>
    <x v="615"/>
    <s v="Grace"/>
    <s v="Williams"/>
    <x v="1"/>
    <x v="12"/>
    <s v="Active"/>
    <s v="6/30/2023"/>
    <n v="96175.41"/>
    <s v="grace.williams@example.com"/>
    <n v="-9807704604"/>
    <x v="0"/>
    <b v="1"/>
    <d v="2023-06-30T00:00:00"/>
    <x v="2"/>
    <x v="5"/>
    <x v="2"/>
    <m/>
  </r>
  <r>
    <n v="616"/>
    <x v="616"/>
    <s v="Frank"/>
    <s v="Smith"/>
    <x v="2"/>
    <x v="14"/>
    <s v="Active"/>
    <s v="4/15/2021"/>
    <n v="76474.789999999994"/>
    <s v="frank.smith@example.com"/>
    <n v="-6876112490"/>
    <x v="1"/>
    <b v="1"/>
    <d v="2021-04-15T00:00:00"/>
    <x v="4"/>
    <x v="5"/>
    <x v="1"/>
    <m/>
  </r>
  <r>
    <n v="617"/>
    <x v="617"/>
    <s v="Alice"/>
    <s v="Garcia"/>
    <x v="3"/>
    <x v="14"/>
    <s v="Pending"/>
    <s v="05/09/2022"/>
    <n v="107855.99"/>
    <s v="alice.garcia@example.com"/>
    <n v="-2565237340"/>
    <x v="1"/>
    <b v="0"/>
    <d v="2022-05-09T00:00:00"/>
    <x v="4"/>
    <x v="5"/>
    <x v="2"/>
    <m/>
  </r>
  <r>
    <n v="618"/>
    <x v="618"/>
    <s v="Charlie"/>
    <s v="Davis"/>
    <x v="2"/>
    <x v="14"/>
    <s v="Active"/>
    <s v="12/02/2024"/>
    <n v="104870.78"/>
    <s v="charlie.davis@example.com"/>
    <n v="-5177345474"/>
    <x v="1"/>
    <b v="1"/>
    <d v="2024-12-02T00:00:00"/>
    <x v="4"/>
    <x v="5"/>
    <x v="2"/>
    <m/>
  </r>
  <r>
    <n v="619"/>
    <x v="619"/>
    <s v="Bob"/>
    <s v="Williams"/>
    <x v="0"/>
    <x v="15"/>
    <s v="Active"/>
    <s v="5/20/2023"/>
    <n v="85165.05"/>
    <s v="bob.williams@example.com"/>
    <n v="-7494902283"/>
    <x v="2"/>
    <b v="0"/>
    <d v="2023-05-20T00:00:00"/>
    <x v="1"/>
    <x v="2"/>
    <x v="1"/>
    <m/>
  </r>
  <r>
    <n v="620"/>
    <x v="620"/>
    <s v="Grace"/>
    <s v="Brown"/>
    <x v="1"/>
    <x v="8"/>
    <s v="Active"/>
    <s v="11/29/2023"/>
    <n v="87087.16"/>
    <s v="grace.brown@example.com"/>
    <n v="-359544293"/>
    <x v="3"/>
    <b v="0"/>
    <d v="2023-11-29T00:00:00"/>
    <x v="1"/>
    <x v="0"/>
    <x v="1"/>
    <m/>
  </r>
  <r>
    <n v="621"/>
    <x v="621"/>
    <s v="Heidi"/>
    <s v="Johnson"/>
    <x v="2"/>
    <x v="25"/>
    <s v="Pending"/>
    <s v="04/08/2024"/>
    <n v="108603.34"/>
    <s v="heidi.johnson@example.com"/>
    <n v="-7742229463"/>
    <x v="1"/>
    <b v="0"/>
    <d v="2024-04-08T00:00:00"/>
    <x v="5"/>
    <x v="5"/>
    <x v="2"/>
    <m/>
  </r>
  <r>
    <n v="622"/>
    <x v="622"/>
    <s v="Grace"/>
    <s v="Davis"/>
    <x v="3"/>
    <x v="28"/>
    <s v="Active"/>
    <s v="10/25/2024"/>
    <n v="55867.23"/>
    <s v="grace.davis@example.com"/>
    <n v="-3039429044"/>
    <x v="1"/>
    <b v="0"/>
    <d v="2024-10-25T00:00:00"/>
    <x v="5"/>
    <x v="3"/>
    <x v="1"/>
    <m/>
  </r>
  <r>
    <n v="623"/>
    <x v="623"/>
    <s v="Grace"/>
    <s v="Johnson"/>
    <x v="4"/>
    <x v="16"/>
    <s v="Pending"/>
    <s v="03/02/2024"/>
    <n v="105259.57"/>
    <s v="grace.johnson@example.com"/>
    <n v="-8867925297"/>
    <x v="2"/>
    <b v="1"/>
    <d v="2024-03-02T00:00:00"/>
    <x v="2"/>
    <x v="1"/>
    <x v="2"/>
    <m/>
  </r>
  <r>
    <n v="624"/>
    <x v="624"/>
    <s v="Bob"/>
    <s v="Jones"/>
    <x v="1"/>
    <x v="3"/>
    <s v="Pending"/>
    <s v="2/24/2021"/>
    <n v="98143.67"/>
    <s v="bob.jones@example.com"/>
    <n v="-5856728726"/>
    <x v="1"/>
    <b v="0"/>
    <d v="2021-02-24T00:00:00"/>
    <x v="3"/>
    <x v="3"/>
    <x v="1"/>
    <m/>
  </r>
  <r>
    <n v="625"/>
    <x v="625"/>
    <s v="Frank"/>
    <s v="Johnson"/>
    <x v="0"/>
    <x v="27"/>
    <s v="Pending"/>
    <s v="4/13/2023"/>
    <n v="67754.289999999994"/>
    <s v="frank.johnson@example.com"/>
    <n v="-6015343323"/>
    <x v="0"/>
    <b v="1"/>
    <d v="2023-04-13T00:00:00"/>
    <x v="2"/>
    <x v="3"/>
    <x v="1"/>
    <m/>
  </r>
  <r>
    <n v="626"/>
    <x v="626"/>
    <s v="Grace"/>
    <s v="Jones"/>
    <x v="1"/>
    <x v="25"/>
    <s v="Inactive"/>
    <s v="10/25/2023"/>
    <n v="77821.789999999994"/>
    <s v="grace.jones@example.com"/>
    <n v="-9135779082"/>
    <x v="0"/>
    <b v="0"/>
    <d v="2023-10-25T00:00:00"/>
    <x v="5"/>
    <x v="5"/>
    <x v="1"/>
    <m/>
  </r>
  <r>
    <n v="627"/>
    <x v="627"/>
    <s v="Heidi"/>
    <s v="Miller"/>
    <x v="3"/>
    <x v="25"/>
    <s v="Pending"/>
    <s v="9/17/2022"/>
    <n v="67764.44"/>
    <s v="heidi.miller@example.com"/>
    <n v="-3506158147"/>
    <x v="3"/>
    <b v="0"/>
    <d v="2022-09-17T00:00:00"/>
    <x v="5"/>
    <x v="5"/>
    <x v="1"/>
    <m/>
  </r>
  <r>
    <n v="628"/>
    <x v="628"/>
    <s v="Frank"/>
    <s v="Davis"/>
    <x v="2"/>
    <x v="5"/>
    <s v="Pending"/>
    <s v="8/31/2020"/>
    <n v="102346.99"/>
    <s v="frank.davis@example.com"/>
    <n v="-8810798333"/>
    <x v="1"/>
    <b v="1"/>
    <d v="2020-08-31T00:00:00"/>
    <x v="0"/>
    <x v="4"/>
    <x v="1"/>
    <m/>
  </r>
  <r>
    <n v="629"/>
    <x v="629"/>
    <s v="Charlie"/>
    <s v="Davis"/>
    <x v="0"/>
    <x v="12"/>
    <s v="Inactive"/>
    <s v="5/28/2024"/>
    <n v="73690.649999999994"/>
    <s v="charlie.davis@example.com"/>
    <n v="-2337209483"/>
    <x v="2"/>
    <b v="1"/>
    <d v="2024-05-28T00:00:00"/>
    <x v="2"/>
    <x v="5"/>
    <x v="1"/>
    <m/>
  </r>
  <r>
    <n v="630"/>
    <x v="630"/>
    <s v="Alice"/>
    <s v="Smith"/>
    <x v="3"/>
    <x v="15"/>
    <s v="Active"/>
    <s v="07/05/2024"/>
    <n v="56376.2"/>
    <s v="alice.smith@example.com"/>
    <n v="-1312840332"/>
    <x v="0"/>
    <b v="1"/>
    <d v="2024-07-05T00:00:00"/>
    <x v="1"/>
    <x v="2"/>
    <x v="0"/>
    <m/>
  </r>
  <r>
    <n v="631"/>
    <x v="631"/>
    <s v="Grace"/>
    <s v="Brown"/>
    <x v="0"/>
    <x v="34"/>
    <s v="Active"/>
    <s v="1/29/2022"/>
    <n v="55602.78"/>
    <s v="grace.brown@example.com"/>
    <n v="-9977180512"/>
    <x v="2"/>
    <b v="0"/>
    <d v="2022-01-29T00:00:00"/>
    <x v="3"/>
    <x v="0"/>
    <x v="0"/>
    <m/>
  </r>
  <r>
    <n v="632"/>
    <x v="632"/>
    <s v="Grace"/>
    <s v="Jones"/>
    <x v="2"/>
    <x v="29"/>
    <s v="Pending"/>
    <s v="08/09/2021"/>
    <n v="99812.41"/>
    <s v="grace.jones@example.com"/>
    <n v="-7171731892"/>
    <x v="2"/>
    <b v="0"/>
    <d v="2021-08-09T00:00:00"/>
    <x v="4"/>
    <x v="2"/>
    <x v="2"/>
    <m/>
  </r>
  <r>
    <n v="633"/>
    <x v="633"/>
    <s v="Charlie"/>
    <s v="Smith"/>
    <x v="2"/>
    <x v="1"/>
    <s v="Active"/>
    <s v="10/07/2024"/>
    <n v="95981.9"/>
    <s v="charlie.smith@example.com"/>
    <n v="-9749096172"/>
    <x v="0"/>
    <b v="1"/>
    <d v="2024-10-07T00:00:00"/>
    <x v="1"/>
    <x v="1"/>
    <x v="1"/>
    <m/>
  </r>
  <r>
    <n v="634"/>
    <x v="634"/>
    <s v="Eva"/>
    <s v="Johnson"/>
    <x v="3"/>
    <x v="13"/>
    <s v="Pending"/>
    <s v="11/22/2022"/>
    <n v="98891.48"/>
    <s v="eva.johnson@example.com"/>
    <n v="-9970469471"/>
    <x v="2"/>
    <b v="1"/>
    <d v="2022-11-22T00:00:00"/>
    <x v="3"/>
    <x v="5"/>
    <x v="1"/>
    <m/>
  </r>
  <r>
    <n v="635"/>
    <x v="635"/>
    <s v="Alice"/>
    <s v="Johnson"/>
    <x v="4"/>
    <x v="2"/>
    <s v="Active"/>
    <s v="11/18/2020"/>
    <n v="56079"/>
    <s v="alice.johnson@example.com"/>
    <n v="-5878444834"/>
    <x v="0"/>
    <b v="1"/>
    <d v="2020-11-18T00:00:00"/>
    <x v="2"/>
    <x v="2"/>
    <x v="1"/>
    <m/>
  </r>
  <r>
    <n v="636"/>
    <x v="636"/>
    <s v="Grace"/>
    <s v="Smith"/>
    <x v="4"/>
    <x v="31"/>
    <s v="Inactive"/>
    <s v="4/15/2023"/>
    <n v="85165.05"/>
    <s v="grace.smith@example.com"/>
    <n v="-4884712704"/>
    <x v="2"/>
    <b v="1"/>
    <d v="2023-04-15T00:00:00"/>
    <x v="0"/>
    <x v="3"/>
    <x v="1"/>
    <m/>
  </r>
  <r>
    <n v="637"/>
    <x v="637"/>
    <s v="Bob"/>
    <s v="Davis"/>
    <x v="0"/>
    <x v="24"/>
    <s v="Pending"/>
    <s v="8/26/2024"/>
    <n v="89137.97"/>
    <s v="bob.davis@example.com"/>
    <n v="-8772216416"/>
    <x v="0"/>
    <b v="0"/>
    <d v="2024-08-26T00:00:00"/>
    <x v="4"/>
    <x v="0"/>
    <x v="1"/>
    <m/>
  </r>
  <r>
    <n v="638"/>
    <x v="638"/>
    <s v="Frank"/>
    <s v="Johnson"/>
    <x v="4"/>
    <x v="12"/>
    <s v="Active"/>
    <s v="7/20/2022"/>
    <n v="115079.97"/>
    <s v="frank.johnson@example.com"/>
    <n v="-5823133483"/>
    <x v="1"/>
    <b v="1"/>
    <d v="2022-07-20T00:00:00"/>
    <x v="2"/>
    <x v="5"/>
    <x v="2"/>
    <m/>
  </r>
  <r>
    <n v="639"/>
    <x v="639"/>
    <s v="Eva"/>
    <s v="Garcia"/>
    <x v="3"/>
    <x v="33"/>
    <s v="Active"/>
    <s v="2/18/2023"/>
    <n v="55067.02"/>
    <s v="eva.garcia@example.com"/>
    <n v="-5871493924"/>
    <x v="3"/>
    <b v="1"/>
    <d v="2023-02-18T00:00:00"/>
    <x v="1"/>
    <x v="5"/>
    <x v="0"/>
    <m/>
  </r>
  <r>
    <n v="640"/>
    <x v="640"/>
    <s v="Bob"/>
    <s v="Miller"/>
    <x v="1"/>
    <x v="25"/>
    <s v="Pending"/>
    <s v="5/27/2021"/>
    <n v="98593.43"/>
    <s v="bob.miller@example.com"/>
    <n v="-2362292586"/>
    <x v="0"/>
    <b v="1"/>
    <d v="2021-05-27T00:00:00"/>
    <x v="5"/>
    <x v="5"/>
    <x v="2"/>
    <m/>
  </r>
  <r>
    <n v="641"/>
    <x v="641"/>
    <s v="Heidi"/>
    <s v="Miller"/>
    <x v="3"/>
    <x v="28"/>
    <s v="Pending"/>
    <s v="08/01/2022"/>
    <n v="112756.67"/>
    <s v="heidi.miller@example.com"/>
    <n v="-9643474523"/>
    <x v="0"/>
    <b v="1"/>
    <d v="2022-08-01T00:00:00"/>
    <x v="5"/>
    <x v="3"/>
    <x v="2"/>
    <m/>
  </r>
  <r>
    <n v="642"/>
    <x v="642"/>
    <s v="Heidi"/>
    <s v="Garcia"/>
    <x v="0"/>
    <x v="20"/>
    <s v="Inactive"/>
    <s v="7/21/2023"/>
    <n v="105205.92"/>
    <s v="heidi.garcia@example.com"/>
    <n v="-5557469659"/>
    <x v="3"/>
    <b v="0"/>
    <d v="2023-07-21T00:00:00"/>
    <x v="5"/>
    <x v="1"/>
    <x v="2"/>
    <m/>
  </r>
  <r>
    <n v="643"/>
    <x v="643"/>
    <s v="David"/>
    <s v="Smith"/>
    <x v="4"/>
    <x v="8"/>
    <s v="Pending"/>
    <s v="01/02/2023"/>
    <n v="50680.62"/>
    <s v="david.smith@example.com"/>
    <n v="-6065274032"/>
    <x v="0"/>
    <b v="1"/>
    <d v="2023-01-02T00:00:00"/>
    <x v="1"/>
    <x v="0"/>
    <x v="0"/>
    <m/>
  </r>
  <r>
    <n v="644"/>
    <x v="644"/>
    <s v="David"/>
    <s v="Garcia"/>
    <x v="4"/>
    <x v="3"/>
    <s v="Pending"/>
    <s v="3/13/2024"/>
    <n v="107475.23"/>
    <s v="david.garcia@example.com"/>
    <n v="-4450566587"/>
    <x v="0"/>
    <b v="0"/>
    <d v="2024-03-13T00:00:00"/>
    <x v="3"/>
    <x v="3"/>
    <x v="1"/>
    <m/>
  </r>
  <r>
    <n v="645"/>
    <x v="645"/>
    <s v="Charlie"/>
    <s v="Jones"/>
    <x v="2"/>
    <x v="21"/>
    <s v="Active"/>
    <s v="3/20/2023"/>
    <n v="68835.3"/>
    <s v="charlie.jones@example.com"/>
    <n v="-3398741131"/>
    <x v="2"/>
    <b v="1"/>
    <d v="2023-03-20T00:00:00"/>
    <x v="5"/>
    <x v="0"/>
    <x v="1"/>
    <m/>
  </r>
  <r>
    <n v="646"/>
    <x v="646"/>
    <s v="David"/>
    <s v="Jones"/>
    <x v="2"/>
    <x v="5"/>
    <s v="Active"/>
    <s v="2/15/2024"/>
    <n v="66943.960000000006"/>
    <s v="david.jones@example.com"/>
    <n v="-5797067348"/>
    <x v="3"/>
    <b v="1"/>
    <d v="2024-02-15T00:00:00"/>
    <x v="0"/>
    <x v="4"/>
    <x v="0"/>
    <m/>
  </r>
  <r>
    <n v="647"/>
    <x v="647"/>
    <s v="David"/>
    <s v="Smith"/>
    <x v="3"/>
    <x v="12"/>
    <s v="Inactive"/>
    <s v="11/15/2020"/>
    <n v="104525.69"/>
    <s v="david.smith@example.com"/>
    <n v="-9601054856"/>
    <x v="1"/>
    <b v="0"/>
    <d v="2020-11-15T00:00:00"/>
    <x v="2"/>
    <x v="5"/>
    <x v="2"/>
    <m/>
  </r>
  <r>
    <n v="648"/>
    <x v="648"/>
    <s v="Bob"/>
    <s v="Garcia"/>
    <x v="2"/>
    <x v="4"/>
    <s v="Pending"/>
    <s v="3/27/2020"/>
    <n v="109360.74"/>
    <s v="bob.garcia@example.com"/>
    <n v="-4172156228"/>
    <x v="0"/>
    <b v="1"/>
    <d v="2020-03-27T00:00:00"/>
    <x v="4"/>
    <x v="1"/>
    <x v="2"/>
    <m/>
  </r>
  <r>
    <n v="649"/>
    <x v="649"/>
    <s v="Frank"/>
    <s v="Jones"/>
    <x v="2"/>
    <x v="24"/>
    <s v="Inactive"/>
    <s v="01/09/2021"/>
    <n v="118907.63"/>
    <s v="frank.jones@example.com"/>
    <n v="-4938173597"/>
    <x v="3"/>
    <b v="0"/>
    <d v="2021-01-09T00:00:00"/>
    <x v="4"/>
    <x v="0"/>
    <x v="2"/>
    <m/>
  </r>
  <r>
    <n v="650"/>
    <x v="650"/>
    <s v="Eva"/>
    <s v="Davis"/>
    <x v="2"/>
    <x v="12"/>
    <s v="Active"/>
    <s v="4/20/2020"/>
    <n v="86801.48"/>
    <s v="eva.davis@example.com"/>
    <n v="-4884021556"/>
    <x v="2"/>
    <b v="0"/>
    <d v="2020-04-20T00:00:00"/>
    <x v="2"/>
    <x v="5"/>
    <x v="2"/>
    <m/>
  </r>
  <r>
    <n v="651"/>
    <x v="651"/>
    <s v="Alice"/>
    <s v="Garcia"/>
    <x v="1"/>
    <x v="28"/>
    <s v="Pending"/>
    <s v="05/08/2024"/>
    <n v="62236.03"/>
    <s v="alice.garcia@example.com"/>
    <n v="-3257375533"/>
    <x v="1"/>
    <b v="1"/>
    <d v="2024-05-08T00:00:00"/>
    <x v="5"/>
    <x v="3"/>
    <x v="1"/>
    <m/>
  </r>
  <r>
    <n v="652"/>
    <x v="652"/>
    <s v="Heidi"/>
    <s v="Davis"/>
    <x v="4"/>
    <x v="32"/>
    <s v="Active"/>
    <s v="10/12/2023"/>
    <n v="64752.67"/>
    <s v="heidi.davis@example.com"/>
    <n v="-4902166669"/>
    <x v="3"/>
    <b v="0"/>
    <d v="2023-10-12T00:00:00"/>
    <x v="0"/>
    <x v="1"/>
    <x v="0"/>
    <m/>
  </r>
  <r>
    <n v="653"/>
    <x v="653"/>
    <s v="Frank"/>
    <s v="Jones"/>
    <x v="4"/>
    <x v="24"/>
    <s v="Active"/>
    <s v="1/28/2023"/>
    <n v="68399.429999999993"/>
    <s v="frank.jones@example.com"/>
    <n v="-8085096084"/>
    <x v="1"/>
    <b v="0"/>
    <d v="2023-01-28T00:00:00"/>
    <x v="4"/>
    <x v="0"/>
    <x v="1"/>
    <m/>
  </r>
  <r>
    <n v="654"/>
    <x v="654"/>
    <s v="Frank"/>
    <s v="Miller"/>
    <x v="4"/>
    <x v="27"/>
    <s v="Inactive"/>
    <s v="03/07/2021"/>
    <n v="79336.509999999995"/>
    <s v="frank.miller@example.com"/>
    <n v="-8749511917"/>
    <x v="1"/>
    <b v="0"/>
    <d v="2021-03-07T00:00:00"/>
    <x v="2"/>
    <x v="3"/>
    <x v="2"/>
    <m/>
  </r>
  <r>
    <n v="655"/>
    <x v="655"/>
    <s v="Frank"/>
    <s v="Jones"/>
    <x v="2"/>
    <x v="28"/>
    <s v="Active"/>
    <s v="3/16/2023"/>
    <n v="59179.74"/>
    <s v="frank.jones@example.com"/>
    <n v="-1828197930"/>
    <x v="1"/>
    <b v="0"/>
    <d v="2023-03-16T00:00:00"/>
    <x v="5"/>
    <x v="3"/>
    <x v="1"/>
    <m/>
  </r>
  <r>
    <n v="656"/>
    <x v="656"/>
    <s v="David"/>
    <s v="Davis"/>
    <x v="0"/>
    <x v="0"/>
    <s v="Active"/>
    <s v="02/11/2023"/>
    <n v="80255.31"/>
    <s v="david.davis@example.com"/>
    <n v="-6477251294"/>
    <x v="0"/>
    <b v="0"/>
    <d v="2023-02-11T00:00:00"/>
    <x v="0"/>
    <x v="0"/>
    <x v="0"/>
    <m/>
  </r>
  <r>
    <n v="657"/>
    <x v="657"/>
    <s v="Charlie"/>
    <s v="Williams"/>
    <x v="3"/>
    <x v="1"/>
    <s v="Active"/>
    <s v="5/13/2022"/>
    <n v="84971.85"/>
    <s v="charlie.williams@example.com"/>
    <n v="-7860694095"/>
    <x v="0"/>
    <b v="0"/>
    <d v="2022-05-13T00:00:00"/>
    <x v="1"/>
    <x v="1"/>
    <x v="1"/>
    <m/>
  </r>
  <r>
    <n v="658"/>
    <x v="658"/>
    <s v="Frank"/>
    <s v="Brown"/>
    <x v="2"/>
    <x v="21"/>
    <s v="Pending"/>
    <s v="10/24/2024"/>
    <n v="89748.42"/>
    <s v="frank.brown@example.com"/>
    <n v="-35624394"/>
    <x v="2"/>
    <b v="0"/>
    <d v="2024-10-24T00:00:00"/>
    <x v="5"/>
    <x v="0"/>
    <x v="2"/>
    <m/>
  </r>
  <r>
    <n v="659"/>
    <x v="659"/>
    <s v="Charlie"/>
    <s v="Johnson"/>
    <x v="0"/>
    <x v="19"/>
    <s v="Inactive"/>
    <s v="9/14/2024"/>
    <n v="94090.35"/>
    <s v="charlie.johnson@example.com"/>
    <n v="-8739592322"/>
    <x v="2"/>
    <b v="0"/>
    <d v="2024-09-14T00:00:00"/>
    <x v="2"/>
    <x v="0"/>
    <x v="2"/>
    <m/>
  </r>
  <r>
    <n v="660"/>
    <x v="660"/>
    <s v="Frank"/>
    <s v="Garcia"/>
    <x v="4"/>
    <x v="21"/>
    <s v="Pending"/>
    <s v="2/15/2023"/>
    <n v="115229.12"/>
    <s v="frank.garcia@example.com"/>
    <n v="-4210890284"/>
    <x v="3"/>
    <b v="1"/>
    <d v="2023-02-15T00:00:00"/>
    <x v="5"/>
    <x v="0"/>
    <x v="2"/>
    <m/>
  </r>
  <r>
    <n v="661"/>
    <x v="661"/>
    <s v="Alice"/>
    <s v="Williams"/>
    <x v="2"/>
    <x v="34"/>
    <s v="Pending"/>
    <s v="5/25/2023"/>
    <n v="63927.07"/>
    <s v="alice.williams@example.com"/>
    <n v="-1553334263"/>
    <x v="2"/>
    <b v="1"/>
    <d v="2023-05-25T00:00:00"/>
    <x v="3"/>
    <x v="0"/>
    <x v="0"/>
    <m/>
  </r>
  <r>
    <n v="662"/>
    <x v="662"/>
    <s v="Charlie"/>
    <s v="Jones"/>
    <x v="4"/>
    <x v="21"/>
    <s v="Pending"/>
    <s v="11/11/2022"/>
    <n v="84124.56"/>
    <s v="charlie.jones@example.com"/>
    <n v="-3350271606"/>
    <x v="1"/>
    <b v="0"/>
    <d v="2022-11-11T00:00:00"/>
    <x v="5"/>
    <x v="0"/>
    <x v="1"/>
    <m/>
  </r>
  <r>
    <n v="663"/>
    <x v="663"/>
    <s v="Bob"/>
    <s v="Miller"/>
    <x v="2"/>
    <x v="24"/>
    <s v="Inactive"/>
    <s v="7/17/2023"/>
    <n v="116961.61"/>
    <s v="bob.miller@example.com"/>
    <n v="-3607763368"/>
    <x v="1"/>
    <b v="1"/>
    <d v="2023-07-17T00:00:00"/>
    <x v="4"/>
    <x v="0"/>
    <x v="2"/>
    <m/>
  </r>
  <r>
    <n v="664"/>
    <x v="664"/>
    <s v="Frank"/>
    <s v="Smith"/>
    <x v="2"/>
    <x v="10"/>
    <s v="Pending"/>
    <s v="04/08/2022"/>
    <n v="109423.05"/>
    <s v="frank.smith@example.com"/>
    <n v="-1128981230"/>
    <x v="0"/>
    <b v="0"/>
    <d v="2022-04-08T00:00:00"/>
    <x v="0"/>
    <x v="5"/>
    <x v="1"/>
    <m/>
  </r>
  <r>
    <n v="665"/>
    <x v="665"/>
    <s v="Charlie"/>
    <s v="Jones"/>
    <x v="4"/>
    <x v="19"/>
    <s v="Inactive"/>
    <s v="8/30/2023"/>
    <n v="70394.94"/>
    <s v="charlie.jones@example.com"/>
    <n v="-7955633184"/>
    <x v="1"/>
    <b v="0"/>
    <d v="2023-08-30T00:00:00"/>
    <x v="2"/>
    <x v="0"/>
    <x v="1"/>
    <m/>
  </r>
  <r>
    <n v="666"/>
    <x v="666"/>
    <s v="Grace"/>
    <s v="Miller"/>
    <x v="4"/>
    <x v="8"/>
    <s v="Pending"/>
    <s v="4/17/2023"/>
    <n v="86465.5"/>
    <s v="grace.miller@example.com"/>
    <n v="-7481700665"/>
    <x v="3"/>
    <b v="1"/>
    <d v="2023-04-17T00:00:00"/>
    <x v="1"/>
    <x v="0"/>
    <x v="1"/>
    <m/>
  </r>
  <r>
    <n v="667"/>
    <x v="667"/>
    <s v="Charlie"/>
    <s v="Brown"/>
    <x v="3"/>
    <x v="6"/>
    <s v="Pending"/>
    <s v="4/25/2021"/>
    <n v="96341.58"/>
    <s v="charlie.brown@example.com"/>
    <n v="-1554164315"/>
    <x v="1"/>
    <b v="0"/>
    <d v="2021-04-25T00:00:00"/>
    <x v="3"/>
    <x v="4"/>
    <x v="1"/>
    <m/>
  </r>
  <r>
    <n v="668"/>
    <x v="668"/>
    <s v="Bob"/>
    <s v="Jones"/>
    <x v="3"/>
    <x v="27"/>
    <s v="Active"/>
    <s v="7/14/2020"/>
    <n v="54465.47"/>
    <s v="bob.jones@example.com"/>
    <n v="-7045023289"/>
    <x v="1"/>
    <b v="0"/>
    <d v="2020-07-14T00:00:00"/>
    <x v="2"/>
    <x v="3"/>
    <x v="1"/>
    <m/>
  </r>
  <r>
    <n v="669"/>
    <x v="669"/>
    <s v="Alice"/>
    <s v="Davis"/>
    <x v="0"/>
    <x v="33"/>
    <s v="Active"/>
    <s v="7/31/2020"/>
    <n v="68371.66"/>
    <s v="alice.davis@example.com"/>
    <n v="-2822700933"/>
    <x v="3"/>
    <b v="0"/>
    <d v="2020-07-31T00:00:00"/>
    <x v="1"/>
    <x v="5"/>
    <x v="1"/>
    <m/>
  </r>
  <r>
    <n v="670"/>
    <x v="670"/>
    <s v="Grace"/>
    <s v="Smith"/>
    <x v="4"/>
    <x v="26"/>
    <s v="Pending"/>
    <s v="08/04/2021"/>
    <n v="81021.23"/>
    <s v="grace.smith@example.com"/>
    <n v="-5962622821"/>
    <x v="2"/>
    <b v="0"/>
    <d v="2021-08-04T00:00:00"/>
    <x v="2"/>
    <x v="4"/>
    <x v="2"/>
    <m/>
  </r>
  <r>
    <n v="671"/>
    <x v="671"/>
    <s v="Charlie"/>
    <s v="Miller"/>
    <x v="0"/>
    <x v="11"/>
    <s v="Inactive"/>
    <s v="10/28/2024"/>
    <n v="114069.07"/>
    <s v="charlie.miller@example.com"/>
    <n v="-5120734653"/>
    <x v="2"/>
    <b v="1"/>
    <d v="2024-10-28T00:00:00"/>
    <x v="3"/>
    <x v="2"/>
    <x v="1"/>
    <m/>
  </r>
  <r>
    <n v="672"/>
    <x v="672"/>
    <s v="Heidi"/>
    <s v="Miller"/>
    <x v="1"/>
    <x v="25"/>
    <s v="Inactive"/>
    <s v="10/03/2020"/>
    <n v="117867.96"/>
    <s v="heidi.miller@example.com"/>
    <n v="-9500507025"/>
    <x v="3"/>
    <b v="0"/>
    <d v="2020-10-03T00:00:00"/>
    <x v="5"/>
    <x v="5"/>
    <x v="2"/>
    <m/>
  </r>
  <r>
    <n v="673"/>
    <x v="673"/>
    <s v="Charlie"/>
    <s v="Miller"/>
    <x v="1"/>
    <x v="9"/>
    <s v="Pending"/>
    <s v="3/13/2024"/>
    <n v="94509.58"/>
    <s v="charlie.miller@example.com"/>
    <n v="-869822104"/>
    <x v="0"/>
    <b v="0"/>
    <d v="2024-03-13T00:00:00"/>
    <x v="4"/>
    <x v="3"/>
    <x v="1"/>
    <m/>
  </r>
  <r>
    <n v="674"/>
    <x v="674"/>
    <s v="Eva"/>
    <s v="Brown"/>
    <x v="4"/>
    <x v="33"/>
    <s v="Active"/>
    <s v="07/06/2024"/>
    <n v="56268.78"/>
    <s v="eva.brown@example.com"/>
    <n v="-3161177686"/>
    <x v="1"/>
    <b v="0"/>
    <d v="2024-07-06T00:00:00"/>
    <x v="1"/>
    <x v="5"/>
    <x v="0"/>
    <m/>
  </r>
  <r>
    <n v="675"/>
    <x v="675"/>
    <s v="Grace"/>
    <s v="Jones"/>
    <x v="4"/>
    <x v="19"/>
    <s v="Active"/>
    <s v="01/01/2020"/>
    <n v="86632.14"/>
    <s v="grace.jones@example.com"/>
    <n v="-2904774257"/>
    <x v="3"/>
    <b v="1"/>
    <d v="2020-01-01T00:00:00"/>
    <x v="2"/>
    <x v="0"/>
    <x v="2"/>
    <m/>
  </r>
  <r>
    <n v="676"/>
    <x v="676"/>
    <s v="Charlie"/>
    <s v="Brown"/>
    <x v="4"/>
    <x v="28"/>
    <s v="Pending"/>
    <s v="1/18/2020"/>
    <n v="98143.9"/>
    <s v="charlie.brown@example.com"/>
    <n v="-5917793237"/>
    <x v="1"/>
    <b v="0"/>
    <d v="2020-01-18T00:00:00"/>
    <x v="5"/>
    <x v="3"/>
    <x v="2"/>
    <m/>
  </r>
  <r>
    <n v="677"/>
    <x v="677"/>
    <s v="Heidi"/>
    <s v="Garcia"/>
    <x v="4"/>
    <x v="3"/>
    <s v="Inactive"/>
    <s v="05/07/2023"/>
    <n v="85165.05"/>
    <s v="heidi.garcia@example.com"/>
    <n v="-2231164912"/>
    <x v="0"/>
    <b v="1"/>
    <d v="2023-05-07T00:00:00"/>
    <x v="3"/>
    <x v="3"/>
    <x v="1"/>
    <m/>
  </r>
  <r>
    <n v="678"/>
    <x v="678"/>
    <s v="Frank"/>
    <s v="Johnson"/>
    <x v="3"/>
    <x v="33"/>
    <s v="Inactive"/>
    <s v="3/19/2022"/>
    <n v="67492.73"/>
    <s v="frank.johnson@example.com"/>
    <n v="-3424579888"/>
    <x v="1"/>
    <b v="1"/>
    <d v="2022-03-19T00:00:00"/>
    <x v="1"/>
    <x v="5"/>
    <x v="1"/>
    <m/>
  </r>
  <r>
    <n v="679"/>
    <x v="679"/>
    <s v="Grace"/>
    <s v="Johnson"/>
    <x v="2"/>
    <x v="19"/>
    <s v="Active"/>
    <s v="5/14/2022"/>
    <n v="93772.61"/>
    <s v="grace.johnson@example.com"/>
    <n v="-4256529059"/>
    <x v="3"/>
    <b v="0"/>
    <d v="2022-05-14T00:00:00"/>
    <x v="2"/>
    <x v="0"/>
    <x v="2"/>
    <m/>
  </r>
  <r>
    <n v="680"/>
    <x v="680"/>
    <s v="Eva"/>
    <s v="Garcia"/>
    <x v="4"/>
    <x v="35"/>
    <s v="Pending"/>
    <s v="7/14/2024"/>
    <n v="68817.539999999994"/>
    <s v="eva.garcia@example.com"/>
    <n v="-3202032649"/>
    <x v="1"/>
    <b v="0"/>
    <d v="2024-07-14T00:00:00"/>
    <x v="0"/>
    <x v="2"/>
    <x v="0"/>
    <m/>
  </r>
  <r>
    <n v="681"/>
    <x v="681"/>
    <s v="Bob"/>
    <s v="Jones"/>
    <x v="3"/>
    <x v="19"/>
    <s v="Active"/>
    <s v="7/28/2023"/>
    <n v="81874.009999999995"/>
    <s v="bob.jones@example.com"/>
    <n v="-9775396736"/>
    <x v="2"/>
    <b v="1"/>
    <d v="2023-07-28T00:00:00"/>
    <x v="2"/>
    <x v="0"/>
    <x v="2"/>
    <m/>
  </r>
  <r>
    <n v="682"/>
    <x v="682"/>
    <s v="Heidi"/>
    <s v="Davis"/>
    <x v="3"/>
    <x v="20"/>
    <s v="Active"/>
    <s v="04/11/2020"/>
    <n v="117880.14"/>
    <s v="heidi.davis@example.com"/>
    <n v="-9487148551"/>
    <x v="0"/>
    <b v="0"/>
    <d v="2020-04-11T00:00:00"/>
    <x v="5"/>
    <x v="1"/>
    <x v="2"/>
    <m/>
  </r>
  <r>
    <n v="683"/>
    <x v="683"/>
    <s v="Bob"/>
    <s v="Brown"/>
    <x v="4"/>
    <x v="7"/>
    <s v="Pending"/>
    <s v="6/16/2022"/>
    <n v="100897.49"/>
    <s v="bob.brown@example.com"/>
    <n v="-4578715840"/>
    <x v="0"/>
    <b v="1"/>
    <d v="2022-06-16T00:00:00"/>
    <x v="5"/>
    <x v="4"/>
    <x v="2"/>
    <m/>
  </r>
  <r>
    <n v="684"/>
    <x v="684"/>
    <s v="Charlie"/>
    <s v="Smith"/>
    <x v="0"/>
    <x v="30"/>
    <s v="Inactive"/>
    <s v="05/10/2022"/>
    <n v="71810.37"/>
    <s v="charlie.smith@example.com"/>
    <n v="-5608213710"/>
    <x v="0"/>
    <b v="1"/>
    <d v="2022-05-10T00:00:00"/>
    <x v="1"/>
    <x v="4"/>
    <x v="1"/>
    <m/>
  </r>
  <r>
    <n v="685"/>
    <x v="685"/>
    <s v="Frank"/>
    <s v="Miller"/>
    <x v="2"/>
    <x v="32"/>
    <s v="Inactive"/>
    <s v="6/13/2020"/>
    <n v="109048.24"/>
    <s v="frank.miller@example.com"/>
    <n v="-8425476817"/>
    <x v="3"/>
    <b v="0"/>
    <d v="2020-06-13T00:00:00"/>
    <x v="0"/>
    <x v="1"/>
    <x v="1"/>
    <m/>
  </r>
  <r>
    <n v="686"/>
    <x v="686"/>
    <s v="Alice"/>
    <s v="Miller"/>
    <x v="4"/>
    <x v="1"/>
    <s v="Pending"/>
    <s v="8/20/2022"/>
    <n v="62712.26"/>
    <s v="alice.miller@example.com"/>
    <n v="-2683230357"/>
    <x v="0"/>
    <b v="0"/>
    <d v="2022-08-20T00:00:00"/>
    <x v="1"/>
    <x v="1"/>
    <x v="1"/>
    <m/>
  </r>
  <r>
    <n v="687"/>
    <x v="687"/>
    <s v="Eva"/>
    <s v="Jones"/>
    <x v="2"/>
    <x v="23"/>
    <s v="Pending"/>
    <s v="5/24/2021"/>
    <n v="76935.850000000006"/>
    <s v="eva.jones@example.com"/>
    <n v="-9298808582"/>
    <x v="2"/>
    <b v="1"/>
    <d v="2021-05-24T00:00:00"/>
    <x v="3"/>
    <x v="1"/>
    <x v="0"/>
    <m/>
  </r>
  <r>
    <n v="688"/>
    <x v="688"/>
    <s v="David"/>
    <s v="Davis"/>
    <x v="0"/>
    <x v="27"/>
    <s v="Pending"/>
    <s v="4/27/2024"/>
    <n v="56577.22"/>
    <s v="david.davis@example.com"/>
    <n v="-8252129327"/>
    <x v="3"/>
    <b v="1"/>
    <d v="2024-04-27T00:00:00"/>
    <x v="2"/>
    <x v="3"/>
    <x v="1"/>
    <m/>
  </r>
  <r>
    <n v="689"/>
    <x v="689"/>
    <s v="David"/>
    <s v="Johnson"/>
    <x v="2"/>
    <x v="15"/>
    <s v="Inactive"/>
    <s v="10/23/2021"/>
    <n v="61102.8"/>
    <s v="david.johnson@example.com"/>
    <n v="-9634064685"/>
    <x v="2"/>
    <b v="1"/>
    <d v="2021-10-23T00:00:00"/>
    <x v="1"/>
    <x v="2"/>
    <x v="1"/>
    <m/>
  </r>
  <r>
    <n v="690"/>
    <x v="690"/>
    <s v="Bob"/>
    <s v="Johnson"/>
    <x v="4"/>
    <x v="15"/>
    <s v="Inactive"/>
    <s v="02/10/2021"/>
    <n v="75229.87"/>
    <s v="bob.johnson@example.com"/>
    <n v="-7752401483"/>
    <x v="1"/>
    <b v="1"/>
    <d v="2021-02-10T00:00:00"/>
    <x v="1"/>
    <x v="2"/>
    <x v="1"/>
    <m/>
  </r>
  <r>
    <n v="691"/>
    <x v="691"/>
    <s v="David"/>
    <s v="Miller"/>
    <x v="0"/>
    <x v="2"/>
    <s v="Inactive"/>
    <s v="10/26/2021"/>
    <n v="51054.74"/>
    <s v="david.miller@example.com"/>
    <n v="-3991062271"/>
    <x v="1"/>
    <b v="0"/>
    <d v="2021-10-26T00:00:00"/>
    <x v="2"/>
    <x v="2"/>
    <x v="1"/>
    <m/>
  </r>
  <r>
    <n v="692"/>
    <x v="692"/>
    <s v="Bob"/>
    <s v="Jones"/>
    <x v="2"/>
    <x v="16"/>
    <s v="Active"/>
    <s v="04/05/2023"/>
    <n v="104843.27"/>
    <s v="bob.jones@example.com"/>
    <n v="-3626693350"/>
    <x v="1"/>
    <b v="0"/>
    <d v="2023-04-05T00:00:00"/>
    <x v="2"/>
    <x v="1"/>
    <x v="2"/>
    <m/>
  </r>
  <r>
    <n v="693"/>
    <x v="693"/>
    <s v="Charlie"/>
    <s v="Brown"/>
    <x v="4"/>
    <x v="6"/>
    <s v="Active"/>
    <s v="10/20/2022"/>
    <n v="56398.11"/>
    <s v="charlie.brown@example.com"/>
    <n v="-3426192371"/>
    <x v="1"/>
    <b v="0"/>
    <d v="2022-10-20T00:00:00"/>
    <x v="3"/>
    <x v="4"/>
    <x v="0"/>
    <m/>
  </r>
  <r>
    <n v="694"/>
    <x v="694"/>
    <s v="Alice"/>
    <s v="Johnson"/>
    <x v="0"/>
    <x v="22"/>
    <s v="Active"/>
    <s v="12/07/2023"/>
    <n v="87544.73"/>
    <s v="alice.johnson@example.com"/>
    <n v="-4501848196"/>
    <x v="2"/>
    <b v="0"/>
    <d v="2023-12-07T00:00:00"/>
    <x v="5"/>
    <x v="2"/>
    <x v="2"/>
    <m/>
  </r>
  <r>
    <n v="695"/>
    <x v="695"/>
    <s v="Heidi"/>
    <s v="Brown"/>
    <x v="3"/>
    <x v="25"/>
    <s v="Pending"/>
    <s v="3/29/2024"/>
    <n v="74312.240000000005"/>
    <s v="heidi.brown@example.com"/>
    <n v="-3741897214"/>
    <x v="3"/>
    <b v="0"/>
    <d v="2024-03-29T00:00:00"/>
    <x v="5"/>
    <x v="5"/>
    <x v="1"/>
    <m/>
  </r>
  <r>
    <n v="696"/>
    <x v="696"/>
    <s v="David"/>
    <s v="Davis"/>
    <x v="0"/>
    <x v="31"/>
    <s v="Inactive"/>
    <s v="1/23/2024"/>
    <n v="59431.25"/>
    <s v="david.davis@example.com"/>
    <n v="-4064176926"/>
    <x v="3"/>
    <b v="1"/>
    <d v="2024-01-23T00:00:00"/>
    <x v="0"/>
    <x v="3"/>
    <x v="0"/>
    <m/>
  </r>
  <r>
    <n v="697"/>
    <x v="697"/>
    <s v="Heidi"/>
    <s v="Johnson"/>
    <x v="2"/>
    <x v="24"/>
    <s v="Pending"/>
    <s v="11/28/2023"/>
    <n v="84306.44"/>
    <s v="heidi.johnson@example.com"/>
    <n v="-4381199536"/>
    <x v="0"/>
    <b v="0"/>
    <d v="2023-11-28T00:00:00"/>
    <x v="4"/>
    <x v="0"/>
    <x v="1"/>
    <m/>
  </r>
  <r>
    <n v="698"/>
    <x v="698"/>
    <s v="Frank"/>
    <s v="Johnson"/>
    <x v="4"/>
    <x v="31"/>
    <s v="Inactive"/>
    <s v="11/11/2024"/>
    <n v="108194.47"/>
    <s v="frank.johnson@example.com"/>
    <n v="-6601444855"/>
    <x v="2"/>
    <b v="0"/>
    <d v="2024-11-11T00:00:00"/>
    <x v="0"/>
    <x v="3"/>
    <x v="1"/>
    <m/>
  </r>
  <r>
    <n v="699"/>
    <x v="699"/>
    <s v="Charlie"/>
    <s v="Williams"/>
    <x v="0"/>
    <x v="17"/>
    <s v="Inactive"/>
    <s v="8/28/2021"/>
    <n v="107359.3"/>
    <s v="charlie.williams@example.com"/>
    <n v="-4510173972"/>
    <x v="1"/>
    <b v="0"/>
    <d v="2021-08-28T00:00:00"/>
    <x v="4"/>
    <x v="4"/>
    <x v="2"/>
    <m/>
  </r>
  <r>
    <n v="700"/>
    <x v="700"/>
    <s v="Heidi"/>
    <s v="Johnson"/>
    <x v="0"/>
    <x v="10"/>
    <s v="Inactive"/>
    <s v="02/11/2024"/>
    <n v="85165.05"/>
    <s v="heidi.johnson@example.com"/>
    <n v="-9641789968"/>
    <x v="2"/>
    <b v="0"/>
    <d v="2024-02-11T00:00:00"/>
    <x v="0"/>
    <x v="5"/>
    <x v="1"/>
    <m/>
  </r>
  <r>
    <n v="701"/>
    <x v="701"/>
    <s v="Frank"/>
    <s v="Garcia"/>
    <x v="1"/>
    <x v="19"/>
    <s v="Pending"/>
    <s v="05/09/2020"/>
    <n v="96080.26"/>
    <s v="frank.garcia@example.com"/>
    <n v="-8609191910"/>
    <x v="0"/>
    <b v="0"/>
    <d v="2020-05-09T00:00:00"/>
    <x v="2"/>
    <x v="0"/>
    <x v="2"/>
    <m/>
  </r>
  <r>
    <n v="702"/>
    <x v="702"/>
    <s v="Grace"/>
    <s v="Smith"/>
    <x v="3"/>
    <x v="29"/>
    <s v="Inactive"/>
    <s v="4/17/2024"/>
    <n v="88602.75"/>
    <s v="grace.smith@example.com"/>
    <n v="-3599660576"/>
    <x v="0"/>
    <b v="1"/>
    <d v="2024-04-17T00:00:00"/>
    <x v="4"/>
    <x v="2"/>
    <x v="1"/>
    <m/>
  </r>
  <r>
    <n v="703"/>
    <x v="703"/>
    <s v="Frank"/>
    <s v="Garcia"/>
    <x v="2"/>
    <x v="0"/>
    <s v="Active"/>
    <s v="7/16/2020"/>
    <n v="86624.04"/>
    <s v="frank.garcia@example.com"/>
    <n v="-9806603919"/>
    <x v="2"/>
    <b v="1"/>
    <d v="2020-07-16T00:00:00"/>
    <x v="0"/>
    <x v="0"/>
    <x v="1"/>
    <m/>
  </r>
  <r>
    <n v="704"/>
    <x v="704"/>
    <s v="Charlie"/>
    <s v="Jones"/>
    <x v="3"/>
    <x v="6"/>
    <s v="Active"/>
    <s v="9/21/2022"/>
    <n v="63413.16"/>
    <s v="charlie.jones@example.com"/>
    <n v="-5146074554"/>
    <x v="2"/>
    <b v="1"/>
    <d v="2022-09-21T00:00:00"/>
    <x v="3"/>
    <x v="4"/>
    <x v="0"/>
    <m/>
  </r>
  <r>
    <n v="705"/>
    <x v="705"/>
    <s v="Grace"/>
    <s v="Jones"/>
    <x v="2"/>
    <x v="14"/>
    <s v="Pending"/>
    <s v="4/23/2023"/>
    <n v="67915.7"/>
    <s v="grace.jones@example.com"/>
    <n v="-3470574237"/>
    <x v="2"/>
    <b v="0"/>
    <d v="2023-04-23T00:00:00"/>
    <x v="4"/>
    <x v="5"/>
    <x v="1"/>
    <m/>
  </r>
  <r>
    <n v="706"/>
    <x v="706"/>
    <s v="Bob"/>
    <s v="Brown"/>
    <x v="0"/>
    <x v="2"/>
    <s v="Inactive"/>
    <s v="12/27/2024"/>
    <n v="108245.44"/>
    <s v="bob.brown@example.com"/>
    <n v="-8565271558"/>
    <x v="3"/>
    <b v="1"/>
    <d v="2024-12-27T00:00:00"/>
    <x v="2"/>
    <x v="2"/>
    <x v="2"/>
    <m/>
  </r>
  <r>
    <n v="707"/>
    <x v="707"/>
    <s v="Alice"/>
    <s v="Garcia"/>
    <x v="4"/>
    <x v="29"/>
    <s v="Inactive"/>
    <s v="08/10/2024"/>
    <n v="75834.81"/>
    <s v="alice.garcia@example.com"/>
    <n v="-8354116596"/>
    <x v="1"/>
    <b v="1"/>
    <d v="2024-08-10T00:00:00"/>
    <x v="4"/>
    <x v="2"/>
    <x v="1"/>
    <m/>
  </r>
  <r>
    <n v="708"/>
    <x v="708"/>
    <s v="Eva"/>
    <s v="Garcia"/>
    <x v="1"/>
    <x v="11"/>
    <s v="Active"/>
    <s v="09/04/2024"/>
    <n v="71273.320000000007"/>
    <s v="eva.garcia@example.com"/>
    <n v="-2634755751"/>
    <x v="2"/>
    <b v="0"/>
    <d v="2024-09-04T00:00:00"/>
    <x v="3"/>
    <x v="2"/>
    <x v="0"/>
    <m/>
  </r>
  <r>
    <n v="709"/>
    <x v="709"/>
    <s v="Bob"/>
    <s v="Garcia"/>
    <x v="0"/>
    <x v="5"/>
    <s v="Pending"/>
    <s v="2/28/2022"/>
    <n v="63262.23"/>
    <s v="bob.garcia@example.com"/>
    <n v="-2501394883"/>
    <x v="2"/>
    <b v="0"/>
    <d v="2022-02-28T00:00:00"/>
    <x v="0"/>
    <x v="4"/>
    <x v="0"/>
    <m/>
  </r>
  <r>
    <n v="710"/>
    <x v="710"/>
    <s v="David"/>
    <s v="Davis"/>
    <x v="1"/>
    <x v="5"/>
    <s v="Pending"/>
    <s v="3/14/2024"/>
    <n v="89069.91"/>
    <s v="david.davis@example.com"/>
    <n v="-8826913118"/>
    <x v="2"/>
    <b v="0"/>
    <d v="2024-03-14T00:00:00"/>
    <x v="0"/>
    <x v="4"/>
    <x v="1"/>
    <m/>
  </r>
  <r>
    <n v="711"/>
    <x v="711"/>
    <s v="Frank"/>
    <s v="Johnson"/>
    <x v="2"/>
    <x v="35"/>
    <s v="Inactive"/>
    <s v="12/13/2024"/>
    <n v="57287.17"/>
    <s v="frank.johnson@example.com"/>
    <n v="-6425856260"/>
    <x v="0"/>
    <b v="1"/>
    <d v="2024-12-13T00:00:00"/>
    <x v="0"/>
    <x v="2"/>
    <x v="0"/>
    <m/>
  </r>
  <r>
    <n v="712"/>
    <x v="712"/>
    <s v="Grace"/>
    <s v="Smith"/>
    <x v="1"/>
    <x v="22"/>
    <s v="Active"/>
    <s v="12/29/2022"/>
    <n v="119890.35"/>
    <s v="grace.smith@example.com"/>
    <n v="-4991537037"/>
    <x v="0"/>
    <b v="1"/>
    <d v="2022-12-29T00:00:00"/>
    <x v="5"/>
    <x v="2"/>
    <x v="2"/>
    <m/>
  </r>
  <r>
    <n v="713"/>
    <x v="713"/>
    <s v="Frank"/>
    <s v="Brown"/>
    <x v="4"/>
    <x v="24"/>
    <s v="Inactive"/>
    <s v="4/24/2022"/>
    <n v="103492.91"/>
    <s v="frank.brown@example.com"/>
    <n v="-2407333372"/>
    <x v="3"/>
    <b v="0"/>
    <d v="2022-04-24T00:00:00"/>
    <x v="4"/>
    <x v="0"/>
    <x v="2"/>
    <m/>
  </r>
  <r>
    <n v="714"/>
    <x v="714"/>
    <s v="Frank"/>
    <s v="Garcia"/>
    <x v="1"/>
    <x v="12"/>
    <s v="Pending"/>
    <s v="3/14/2021"/>
    <n v="76254.42"/>
    <s v="frank.garcia@example.com"/>
    <n v="-2043097767"/>
    <x v="1"/>
    <b v="0"/>
    <d v="2021-03-14T00:00:00"/>
    <x v="2"/>
    <x v="5"/>
    <x v="2"/>
    <m/>
  </r>
  <r>
    <n v="715"/>
    <x v="715"/>
    <s v="Eva"/>
    <s v="Garcia"/>
    <x v="4"/>
    <x v="18"/>
    <s v="Inactive"/>
    <s v="01/01/2020"/>
    <n v="100841.93"/>
    <s v="eva.garcia@example.com"/>
    <n v="-8936289695"/>
    <x v="3"/>
    <b v="1"/>
    <d v="2020-01-01T00:00:00"/>
    <x v="1"/>
    <x v="3"/>
    <x v="1"/>
    <m/>
  </r>
  <r>
    <n v="716"/>
    <x v="716"/>
    <s v="Alice"/>
    <s v="Williams"/>
    <x v="1"/>
    <x v="19"/>
    <s v="Active"/>
    <s v="09/07/2021"/>
    <n v="118907.61"/>
    <s v="alice.williams@example.com"/>
    <n v="-4546553584"/>
    <x v="1"/>
    <b v="1"/>
    <d v="2021-09-07T00:00:00"/>
    <x v="2"/>
    <x v="0"/>
    <x v="2"/>
    <m/>
  </r>
  <r>
    <n v="717"/>
    <x v="717"/>
    <s v="Frank"/>
    <s v="Brown"/>
    <x v="0"/>
    <x v="0"/>
    <s v="Pending"/>
    <s v="11/13/2022"/>
    <n v="88942.62"/>
    <s v="frank.brown@example.com"/>
    <n v="-1253892186"/>
    <x v="0"/>
    <b v="0"/>
    <d v="2022-11-13T00:00:00"/>
    <x v="0"/>
    <x v="0"/>
    <x v="1"/>
    <m/>
  </r>
  <r>
    <n v="718"/>
    <x v="718"/>
    <s v="Charlie"/>
    <s v="Garcia"/>
    <x v="0"/>
    <x v="3"/>
    <s v="Inactive"/>
    <s v="11/15/2020"/>
    <n v="59688.57"/>
    <s v="charlie.garcia@example.com"/>
    <n v="-8519358373"/>
    <x v="0"/>
    <b v="0"/>
    <d v="2020-11-15T00:00:00"/>
    <x v="3"/>
    <x v="3"/>
    <x v="0"/>
    <m/>
  </r>
  <r>
    <n v="719"/>
    <x v="719"/>
    <s v="David"/>
    <s v="Brown"/>
    <x v="3"/>
    <x v="21"/>
    <s v="Active"/>
    <s v="3/14/2023"/>
    <n v="77985.88"/>
    <s v="david.brown@example.com"/>
    <n v="-9079779611"/>
    <x v="0"/>
    <b v="1"/>
    <d v="2023-03-14T00:00:00"/>
    <x v="5"/>
    <x v="0"/>
    <x v="1"/>
    <m/>
  </r>
  <r>
    <n v="720"/>
    <x v="720"/>
    <s v="Bob"/>
    <s v="Johnson"/>
    <x v="4"/>
    <x v="30"/>
    <s v="Inactive"/>
    <s v="8/18/2024"/>
    <n v="112931.69"/>
    <s v="bob.johnson@example.com"/>
    <n v="-878057214"/>
    <x v="3"/>
    <b v="0"/>
    <d v="2024-08-18T00:00:00"/>
    <x v="1"/>
    <x v="4"/>
    <x v="2"/>
    <m/>
  </r>
  <r>
    <n v="721"/>
    <x v="721"/>
    <s v="Bob"/>
    <s v="Williams"/>
    <x v="1"/>
    <x v="0"/>
    <s v="Active"/>
    <s v="02/05/2024"/>
    <n v="106583.88"/>
    <s v="bob.williams@example.com"/>
    <n v="-1494097625"/>
    <x v="2"/>
    <b v="1"/>
    <d v="2024-02-05T00:00:00"/>
    <x v="0"/>
    <x v="0"/>
    <x v="1"/>
    <m/>
  </r>
  <r>
    <n v="722"/>
    <x v="722"/>
    <s v="Alice"/>
    <s v="Brown"/>
    <x v="4"/>
    <x v="28"/>
    <s v="Inactive"/>
    <s v="11/12/2024"/>
    <n v="58437.84"/>
    <s v="alice.brown@example.com"/>
    <n v="-3748453985"/>
    <x v="2"/>
    <b v="1"/>
    <d v="2024-11-12T00:00:00"/>
    <x v="5"/>
    <x v="3"/>
    <x v="1"/>
    <m/>
  </r>
  <r>
    <n v="723"/>
    <x v="723"/>
    <s v="Alice"/>
    <s v="Smith"/>
    <x v="2"/>
    <x v="34"/>
    <s v="Pending"/>
    <s v="3/25/2020"/>
    <n v="72352.160000000003"/>
    <s v="alice.smith@example.com"/>
    <n v="-2895090590"/>
    <x v="0"/>
    <b v="1"/>
    <d v="2020-03-25T00:00:00"/>
    <x v="3"/>
    <x v="0"/>
    <x v="0"/>
    <m/>
  </r>
  <r>
    <n v="724"/>
    <x v="724"/>
    <s v="Frank"/>
    <s v="Smith"/>
    <x v="1"/>
    <x v="5"/>
    <s v="Active"/>
    <s v="4/13/2020"/>
    <n v="97154.47"/>
    <s v="frank.smith@example.com"/>
    <n v="-1918623391"/>
    <x v="2"/>
    <b v="1"/>
    <d v="2020-04-13T00:00:00"/>
    <x v="0"/>
    <x v="4"/>
    <x v="1"/>
    <m/>
  </r>
  <r>
    <n v="725"/>
    <x v="725"/>
    <s v="Heidi"/>
    <s v="Jones"/>
    <x v="1"/>
    <x v="14"/>
    <s v="Active"/>
    <s v="3/30/2021"/>
    <n v="80235.5"/>
    <s v="heidi.jones@example.com"/>
    <n v="-2071511695"/>
    <x v="2"/>
    <b v="0"/>
    <d v="2021-03-30T00:00:00"/>
    <x v="4"/>
    <x v="5"/>
    <x v="1"/>
    <m/>
  </r>
  <r>
    <n v="726"/>
    <x v="726"/>
    <s v="Charlie"/>
    <s v="Williams"/>
    <x v="3"/>
    <x v="20"/>
    <s v="Inactive"/>
    <s v="3/16/2023"/>
    <n v="102172.05"/>
    <s v="charlie.williams@example.com"/>
    <n v="-6672521451"/>
    <x v="3"/>
    <b v="0"/>
    <d v="2023-03-16T00:00:00"/>
    <x v="5"/>
    <x v="1"/>
    <x v="2"/>
    <m/>
  </r>
  <r>
    <n v="727"/>
    <x v="727"/>
    <s v="Eva"/>
    <s v="Williams"/>
    <x v="0"/>
    <x v="33"/>
    <s v="Inactive"/>
    <s v="05/03/2024"/>
    <n v="98850.94"/>
    <s v="eva.williams@example.com"/>
    <n v="-6471246334"/>
    <x v="1"/>
    <b v="1"/>
    <d v="2024-05-03T00:00:00"/>
    <x v="1"/>
    <x v="5"/>
    <x v="1"/>
    <m/>
  </r>
  <r>
    <n v="728"/>
    <x v="728"/>
    <s v="Heidi"/>
    <s v="Jones"/>
    <x v="1"/>
    <x v="27"/>
    <s v="Inactive"/>
    <s v="8/28/2023"/>
    <n v="89993.15"/>
    <s v="heidi.jones@example.com"/>
    <n v="-1571840907"/>
    <x v="0"/>
    <b v="1"/>
    <d v="2023-08-28T00:00:00"/>
    <x v="2"/>
    <x v="3"/>
    <x v="2"/>
    <m/>
  </r>
  <r>
    <n v="729"/>
    <x v="729"/>
    <s v="David"/>
    <s v="Brown"/>
    <x v="3"/>
    <x v="34"/>
    <s v="Inactive"/>
    <s v="10/24/2021"/>
    <n v="97931.66"/>
    <s v="david.brown@example.com"/>
    <n v="-512080055"/>
    <x v="0"/>
    <b v="1"/>
    <d v="2021-10-24T00:00:00"/>
    <x v="3"/>
    <x v="0"/>
    <x v="1"/>
    <m/>
  </r>
  <r>
    <n v="730"/>
    <x v="730"/>
    <s v="Bob"/>
    <s v="Williams"/>
    <x v="2"/>
    <x v="8"/>
    <s v="Inactive"/>
    <s v="1/25/2021"/>
    <n v="72451.69"/>
    <s v="bob.williams@example.com"/>
    <n v="-4099512396"/>
    <x v="3"/>
    <b v="1"/>
    <d v="2021-01-25T00:00:00"/>
    <x v="1"/>
    <x v="0"/>
    <x v="1"/>
    <m/>
  </r>
  <r>
    <n v="731"/>
    <x v="731"/>
    <s v="Alice"/>
    <s v="Smith"/>
    <x v="4"/>
    <x v="19"/>
    <s v="Pending"/>
    <s v="08/09/2024"/>
    <n v="119311.14"/>
    <s v="alice.smith@example.com"/>
    <n v="-2835129591"/>
    <x v="3"/>
    <b v="1"/>
    <d v="2024-08-09T00:00:00"/>
    <x v="2"/>
    <x v="0"/>
    <x v="2"/>
    <m/>
  </r>
  <r>
    <n v="732"/>
    <x v="732"/>
    <s v="Charlie"/>
    <s v="Smith"/>
    <x v="2"/>
    <x v="6"/>
    <s v="Active"/>
    <s v="11/04/2023"/>
    <n v="76167.460000000006"/>
    <s v="charlie.smith@example.com"/>
    <n v="-7282709080"/>
    <x v="2"/>
    <b v="0"/>
    <d v="2023-11-04T00:00:00"/>
    <x v="3"/>
    <x v="4"/>
    <x v="0"/>
    <m/>
  </r>
  <r>
    <n v="733"/>
    <x v="733"/>
    <s v="Bob"/>
    <s v="Garcia"/>
    <x v="0"/>
    <x v="32"/>
    <s v="Active"/>
    <s v="6/25/2023"/>
    <n v="114871.08"/>
    <s v="bob.garcia@example.com"/>
    <n v="-4415298216"/>
    <x v="0"/>
    <b v="0"/>
    <d v="2023-06-25T00:00:00"/>
    <x v="0"/>
    <x v="1"/>
    <x v="1"/>
    <m/>
  </r>
  <r>
    <n v="734"/>
    <x v="734"/>
    <s v="Eva"/>
    <s v="Johnson"/>
    <x v="0"/>
    <x v="22"/>
    <s v="Active"/>
    <s v="9/16/2021"/>
    <n v="81504.31"/>
    <s v="eva.johnson@example.com"/>
    <n v="-3929578670"/>
    <x v="1"/>
    <b v="0"/>
    <d v="2021-09-16T00:00:00"/>
    <x v="5"/>
    <x v="2"/>
    <x v="1"/>
    <m/>
  </r>
  <r>
    <n v="735"/>
    <x v="735"/>
    <s v="David"/>
    <s v="Williams"/>
    <x v="1"/>
    <x v="26"/>
    <s v="Pending"/>
    <s v="12/07/2022"/>
    <n v="102524.86"/>
    <s v="david.williams@example.com"/>
    <n v="-8153523735"/>
    <x v="3"/>
    <b v="0"/>
    <d v="2022-12-07T00:00:00"/>
    <x v="2"/>
    <x v="4"/>
    <x v="2"/>
    <m/>
  </r>
  <r>
    <n v="736"/>
    <x v="736"/>
    <s v="Charlie"/>
    <s v="Brown"/>
    <x v="0"/>
    <x v="33"/>
    <s v="Pending"/>
    <s v="12/14/2022"/>
    <n v="53043.74"/>
    <s v="charlie.brown@example.com"/>
    <n v="-507918157"/>
    <x v="1"/>
    <b v="1"/>
    <d v="2022-12-14T00:00:00"/>
    <x v="1"/>
    <x v="5"/>
    <x v="0"/>
    <m/>
  </r>
  <r>
    <n v="737"/>
    <x v="737"/>
    <s v="Eva"/>
    <s v="Jones"/>
    <x v="3"/>
    <x v="10"/>
    <s v="Inactive"/>
    <s v="4/18/2020"/>
    <n v="82547.259999999995"/>
    <s v="eva.jones@example.com"/>
    <n v="-9988683451"/>
    <x v="1"/>
    <b v="1"/>
    <d v="2020-04-18T00:00:00"/>
    <x v="0"/>
    <x v="5"/>
    <x v="0"/>
    <m/>
  </r>
  <r>
    <n v="738"/>
    <x v="738"/>
    <s v="Bob"/>
    <s v="Jones"/>
    <x v="2"/>
    <x v="0"/>
    <s v="Pending"/>
    <s v="10/11/2024"/>
    <n v="113900.81"/>
    <s v="bob.jones@example.com"/>
    <n v="-7346666169"/>
    <x v="0"/>
    <b v="1"/>
    <d v="2024-10-11T00:00:00"/>
    <x v="0"/>
    <x v="0"/>
    <x v="1"/>
    <m/>
  </r>
  <r>
    <n v="739"/>
    <x v="739"/>
    <s v="Bob"/>
    <s v="Brown"/>
    <x v="0"/>
    <x v="22"/>
    <s v="Inactive"/>
    <s v="4/18/2021"/>
    <n v="118585.5"/>
    <s v="bob.brown@example.com"/>
    <n v="-7158796473"/>
    <x v="0"/>
    <b v="1"/>
    <d v="2021-04-18T00:00:00"/>
    <x v="5"/>
    <x v="2"/>
    <x v="2"/>
    <m/>
  </r>
  <r>
    <n v="740"/>
    <x v="740"/>
    <s v="Bob"/>
    <s v="Davis"/>
    <x v="4"/>
    <x v="33"/>
    <s v="Pending"/>
    <s v="6/29/2020"/>
    <n v="63049.22"/>
    <s v="bob.davis@example.com"/>
    <n v="-803149981"/>
    <x v="3"/>
    <b v="1"/>
    <d v="2020-06-29T00:00:00"/>
    <x v="1"/>
    <x v="5"/>
    <x v="1"/>
    <m/>
  </r>
  <r>
    <n v="741"/>
    <x v="741"/>
    <s v="Heidi"/>
    <s v="Miller"/>
    <x v="1"/>
    <x v="32"/>
    <s v="Active"/>
    <s v="5/21/2021"/>
    <n v="114558.91"/>
    <s v="heidi.miller@example.com"/>
    <n v="-5080046357"/>
    <x v="0"/>
    <b v="0"/>
    <d v="2021-05-21T00:00:00"/>
    <x v="0"/>
    <x v="1"/>
    <x v="1"/>
    <m/>
  </r>
  <r>
    <n v="742"/>
    <x v="742"/>
    <s v="Heidi"/>
    <s v="Johnson"/>
    <x v="2"/>
    <x v="5"/>
    <s v="Active"/>
    <s v="12/11/2021"/>
    <n v="97901.79"/>
    <s v="heidi.johnson@example.com"/>
    <n v="-688285030"/>
    <x v="0"/>
    <b v="1"/>
    <d v="2021-12-11T00:00:00"/>
    <x v="0"/>
    <x v="4"/>
    <x v="1"/>
    <m/>
  </r>
  <r>
    <n v="743"/>
    <x v="743"/>
    <s v="Eva"/>
    <s v="Jones"/>
    <x v="3"/>
    <x v="24"/>
    <s v="Active"/>
    <s v="07/05/2023"/>
    <n v="68037.56"/>
    <s v="eva.jones@example.com"/>
    <n v="-7235137398"/>
    <x v="0"/>
    <b v="0"/>
    <d v="2023-07-05T00:00:00"/>
    <x v="4"/>
    <x v="0"/>
    <x v="1"/>
    <m/>
  </r>
  <r>
    <n v="744"/>
    <x v="744"/>
    <s v="Alice"/>
    <s v="Williams"/>
    <x v="1"/>
    <x v="7"/>
    <s v="Active"/>
    <s v="11/30/2021"/>
    <n v="112802.27"/>
    <s v="alice.williams@example.com"/>
    <n v="-63140351"/>
    <x v="1"/>
    <b v="0"/>
    <d v="2021-11-30T00:00:00"/>
    <x v="5"/>
    <x v="4"/>
    <x v="2"/>
    <m/>
  </r>
  <r>
    <n v="745"/>
    <x v="745"/>
    <s v="Bob"/>
    <s v="Johnson"/>
    <x v="2"/>
    <x v="29"/>
    <s v="Pending"/>
    <s v="11/22/2024"/>
    <n v="93786.72"/>
    <s v="bob.johnson@example.com"/>
    <n v="-6356022938"/>
    <x v="3"/>
    <b v="0"/>
    <d v="2024-11-22T00:00:00"/>
    <x v="4"/>
    <x v="2"/>
    <x v="1"/>
    <m/>
  </r>
  <r>
    <n v="746"/>
    <x v="746"/>
    <s v="David"/>
    <s v="Williams"/>
    <x v="1"/>
    <x v="27"/>
    <s v="Inactive"/>
    <s v="5/24/2023"/>
    <n v="73049.929999999993"/>
    <s v="david.williams@example.com"/>
    <n v="-4694346065"/>
    <x v="2"/>
    <b v="0"/>
    <d v="2023-05-24T00:00:00"/>
    <x v="2"/>
    <x v="3"/>
    <x v="1"/>
    <m/>
  </r>
  <r>
    <n v="747"/>
    <x v="747"/>
    <s v="David"/>
    <s v="Davis"/>
    <x v="3"/>
    <x v="14"/>
    <s v="Pending"/>
    <s v="6/26/2024"/>
    <n v="64161.72"/>
    <s v="david.davis@example.com"/>
    <n v="-6437490606"/>
    <x v="1"/>
    <b v="1"/>
    <d v="2024-06-26T00:00:00"/>
    <x v="4"/>
    <x v="5"/>
    <x v="1"/>
    <m/>
  </r>
  <r>
    <n v="748"/>
    <x v="748"/>
    <s v="Charlie"/>
    <s v="Smith"/>
    <x v="2"/>
    <x v="2"/>
    <s v="Pending"/>
    <s v="11/19/2020"/>
    <n v="72224.73"/>
    <s v="charlie.smith@example.com"/>
    <n v="-2311127127"/>
    <x v="0"/>
    <b v="0"/>
    <d v="2020-11-19T00:00:00"/>
    <x v="2"/>
    <x v="2"/>
    <x v="1"/>
    <m/>
  </r>
  <r>
    <n v="749"/>
    <x v="749"/>
    <s v="Bob"/>
    <s v="Johnson"/>
    <x v="3"/>
    <x v="7"/>
    <s v="Pending"/>
    <s v="03/01/2020"/>
    <n v="103580.45"/>
    <s v="bob.johnson@example.com"/>
    <n v="-5246484493"/>
    <x v="1"/>
    <b v="0"/>
    <d v="2020-03-01T00:00:00"/>
    <x v="5"/>
    <x v="4"/>
    <x v="2"/>
    <m/>
  </r>
  <r>
    <n v="750"/>
    <x v="750"/>
    <s v="Grace"/>
    <s v="Garcia"/>
    <x v="2"/>
    <x v="28"/>
    <s v="Pending"/>
    <s v="08/09/2024"/>
    <n v="112589.11"/>
    <s v="grace.garcia@example.com"/>
    <n v="-1163187327"/>
    <x v="0"/>
    <b v="0"/>
    <d v="2024-08-09T00:00:00"/>
    <x v="5"/>
    <x v="3"/>
    <x v="2"/>
    <m/>
  </r>
  <r>
    <n v="751"/>
    <x v="751"/>
    <s v="Eva"/>
    <s v="Jones"/>
    <x v="3"/>
    <x v="16"/>
    <s v="Active"/>
    <s v="1/13/2021"/>
    <n v="51833.88"/>
    <s v="eva.jones@example.com"/>
    <n v="-771130620"/>
    <x v="0"/>
    <b v="1"/>
    <d v="2021-01-13T00:00:00"/>
    <x v="2"/>
    <x v="1"/>
    <x v="1"/>
    <m/>
  </r>
  <r>
    <n v="752"/>
    <x v="752"/>
    <s v="Eva"/>
    <s v="Johnson"/>
    <x v="1"/>
    <x v="14"/>
    <s v="Active"/>
    <s v="05/06/2023"/>
    <n v="66252.78"/>
    <s v="eva.johnson@example.com"/>
    <n v="-1369572789"/>
    <x v="1"/>
    <b v="1"/>
    <d v="2023-05-06T00:00:00"/>
    <x v="4"/>
    <x v="5"/>
    <x v="1"/>
    <m/>
  </r>
  <r>
    <n v="753"/>
    <x v="753"/>
    <s v="Frank"/>
    <s v="Johnson"/>
    <x v="0"/>
    <x v="31"/>
    <s v="Active"/>
    <s v="10/25/2022"/>
    <n v="109229.68"/>
    <s v="frank.johnson@example.com"/>
    <n v="-8335090253"/>
    <x v="3"/>
    <b v="1"/>
    <d v="2022-10-25T00:00:00"/>
    <x v="0"/>
    <x v="3"/>
    <x v="1"/>
    <m/>
  </r>
  <r>
    <n v="754"/>
    <x v="754"/>
    <s v="Frank"/>
    <s v="Johnson"/>
    <x v="3"/>
    <x v="18"/>
    <s v="Inactive"/>
    <s v="10/08/2020"/>
    <n v="61465.05"/>
    <s v="frank.johnson@example.com"/>
    <n v="-2573066247"/>
    <x v="0"/>
    <b v="0"/>
    <d v="2020-10-08T00:00:00"/>
    <x v="1"/>
    <x v="3"/>
    <x v="1"/>
    <m/>
  </r>
  <r>
    <n v="755"/>
    <x v="755"/>
    <s v="Grace"/>
    <s v="Miller"/>
    <x v="0"/>
    <x v="28"/>
    <s v="Active"/>
    <s v="2/29/2024"/>
    <n v="96993.74"/>
    <s v="grace.miller@example.com"/>
    <n v="-1323570712"/>
    <x v="3"/>
    <b v="0"/>
    <d v="2024-02-29T00:00:00"/>
    <x v="5"/>
    <x v="3"/>
    <x v="2"/>
    <m/>
  </r>
  <r>
    <n v="756"/>
    <x v="756"/>
    <s v="David"/>
    <s v="Johnson"/>
    <x v="0"/>
    <x v="27"/>
    <s v="Pending"/>
    <s v="9/30/2022"/>
    <n v="98150.39"/>
    <s v="david.johnson@example.com"/>
    <n v="-9848228500"/>
    <x v="2"/>
    <b v="1"/>
    <d v="2022-09-30T00:00:00"/>
    <x v="2"/>
    <x v="3"/>
    <x v="2"/>
    <m/>
  </r>
  <r>
    <n v="757"/>
    <x v="757"/>
    <s v="David"/>
    <s v="Williams"/>
    <x v="2"/>
    <x v="1"/>
    <s v="Pending"/>
    <s v="2/14/2024"/>
    <n v="107703"/>
    <s v="david.williams@example.com"/>
    <n v="-1688092549"/>
    <x v="0"/>
    <b v="0"/>
    <d v="2024-02-14T00:00:00"/>
    <x v="1"/>
    <x v="1"/>
    <x v="2"/>
    <m/>
  </r>
  <r>
    <n v="758"/>
    <x v="758"/>
    <s v="Grace"/>
    <s v="Smith"/>
    <x v="1"/>
    <x v="10"/>
    <s v="Pending"/>
    <s v="01/03/2023"/>
    <n v="86766.14"/>
    <s v="grace.smith@example.com"/>
    <n v="-2130609068"/>
    <x v="3"/>
    <b v="1"/>
    <d v="2023-01-03T00:00:00"/>
    <x v="0"/>
    <x v="5"/>
    <x v="1"/>
    <m/>
  </r>
  <r>
    <n v="759"/>
    <x v="759"/>
    <s v="Alice"/>
    <s v="Davis"/>
    <x v="1"/>
    <x v="3"/>
    <s v="Inactive"/>
    <s v="8/20/2024"/>
    <n v="111443.69"/>
    <s v="alice.davis@example.com"/>
    <n v="-1309810795"/>
    <x v="3"/>
    <b v="1"/>
    <d v="2024-08-20T00:00:00"/>
    <x v="3"/>
    <x v="3"/>
    <x v="1"/>
    <m/>
  </r>
  <r>
    <n v="760"/>
    <x v="760"/>
    <s v="David"/>
    <s v="Brown"/>
    <x v="1"/>
    <x v="9"/>
    <s v="Pending"/>
    <s v="3/21/2020"/>
    <n v="89039.07"/>
    <s v="david.brown@example.com"/>
    <n v="-4967379456"/>
    <x v="2"/>
    <b v="0"/>
    <d v="2020-03-21T00:00:00"/>
    <x v="4"/>
    <x v="3"/>
    <x v="1"/>
    <m/>
  </r>
  <r>
    <n v="761"/>
    <x v="761"/>
    <s v="Alice"/>
    <s v="Johnson"/>
    <x v="3"/>
    <x v="28"/>
    <s v="Inactive"/>
    <s v="12/16/2024"/>
    <n v="71318.789999999994"/>
    <s v="alice.johnson@example.com"/>
    <n v="-7278532425"/>
    <x v="3"/>
    <b v="0"/>
    <d v="2024-12-16T00:00:00"/>
    <x v="5"/>
    <x v="3"/>
    <x v="1"/>
    <m/>
  </r>
  <r>
    <n v="762"/>
    <x v="762"/>
    <s v="Heidi"/>
    <s v="Jones"/>
    <x v="3"/>
    <x v="8"/>
    <s v="Pending"/>
    <s v="4/21/2020"/>
    <n v="98296.71"/>
    <s v="heidi.jones@example.com"/>
    <n v="-4250642075"/>
    <x v="3"/>
    <b v="0"/>
    <d v="2020-04-21T00:00:00"/>
    <x v="1"/>
    <x v="0"/>
    <x v="1"/>
    <m/>
  </r>
  <r>
    <n v="763"/>
    <x v="763"/>
    <s v="Heidi"/>
    <s v="Johnson"/>
    <x v="2"/>
    <x v="11"/>
    <s v="Pending"/>
    <s v="8/19/2020"/>
    <n v="62584"/>
    <s v="heidi.johnson@example.com"/>
    <n v="-8362536666"/>
    <x v="2"/>
    <b v="0"/>
    <d v="2020-08-19T00:00:00"/>
    <x v="3"/>
    <x v="2"/>
    <x v="0"/>
    <m/>
  </r>
  <r>
    <n v="764"/>
    <x v="764"/>
    <s v="Charlie"/>
    <s v="Jones"/>
    <x v="2"/>
    <x v="8"/>
    <s v="Inactive"/>
    <s v="2/21/2020"/>
    <n v="62521.5"/>
    <s v="charlie.jones@example.com"/>
    <n v="-7767555627"/>
    <x v="0"/>
    <b v="1"/>
    <d v="2020-02-21T00:00:00"/>
    <x v="1"/>
    <x v="0"/>
    <x v="1"/>
    <m/>
  </r>
  <r>
    <n v="765"/>
    <x v="765"/>
    <s v="David"/>
    <s v="Williams"/>
    <x v="2"/>
    <x v="34"/>
    <s v="Inactive"/>
    <s v="11/17/2023"/>
    <n v="95400.35"/>
    <s v="david.williams@example.com"/>
    <n v="-3333939577"/>
    <x v="3"/>
    <b v="1"/>
    <d v="2023-11-17T00:00:00"/>
    <x v="3"/>
    <x v="0"/>
    <x v="1"/>
    <m/>
  </r>
  <r>
    <n v="766"/>
    <x v="766"/>
    <s v="Charlie"/>
    <s v="Jones"/>
    <x v="0"/>
    <x v="23"/>
    <s v="Pending"/>
    <s v="07/09/2022"/>
    <n v="94385.07"/>
    <s v="charlie.jones@example.com"/>
    <n v="-6543627186"/>
    <x v="3"/>
    <b v="1"/>
    <d v="2022-07-09T00:00:00"/>
    <x v="3"/>
    <x v="1"/>
    <x v="1"/>
    <m/>
  </r>
  <r>
    <n v="767"/>
    <x v="767"/>
    <s v="Grace"/>
    <s v="Garcia"/>
    <x v="1"/>
    <x v="17"/>
    <s v="Inactive"/>
    <s v="02/01/2023"/>
    <n v="76642.490000000005"/>
    <s v="grace.garcia@example.com"/>
    <n v="-4960335825"/>
    <x v="3"/>
    <b v="1"/>
    <d v="2023-02-01T00:00:00"/>
    <x v="4"/>
    <x v="4"/>
    <x v="1"/>
    <m/>
  </r>
  <r>
    <n v="768"/>
    <x v="768"/>
    <s v="Frank"/>
    <s v="Brown"/>
    <x v="1"/>
    <x v="5"/>
    <s v="Active"/>
    <s v="11/14/2024"/>
    <n v="60122.52"/>
    <s v="frank.brown@example.com"/>
    <n v="-8627036923"/>
    <x v="1"/>
    <b v="1"/>
    <d v="2024-11-14T00:00:00"/>
    <x v="0"/>
    <x v="4"/>
    <x v="0"/>
    <m/>
  </r>
  <r>
    <n v="769"/>
    <x v="769"/>
    <s v="Alice"/>
    <s v="Smith"/>
    <x v="2"/>
    <x v="21"/>
    <s v="Pending"/>
    <s v="4/23/2024"/>
    <n v="117267.63"/>
    <s v="alice.smith@example.com"/>
    <n v="-9269326572"/>
    <x v="2"/>
    <b v="0"/>
    <d v="2024-04-23T00:00:00"/>
    <x v="5"/>
    <x v="0"/>
    <x v="2"/>
    <m/>
  </r>
  <r>
    <n v="770"/>
    <x v="770"/>
    <s v="Charlie"/>
    <s v="Jones"/>
    <x v="0"/>
    <x v="26"/>
    <s v="Active"/>
    <s v="6/29/2023"/>
    <n v="85165.05"/>
    <s v="charlie.jones@example.com"/>
    <n v="-2759980110"/>
    <x v="1"/>
    <b v="1"/>
    <d v="2023-06-29T00:00:00"/>
    <x v="2"/>
    <x v="4"/>
    <x v="2"/>
    <m/>
  </r>
  <r>
    <n v="771"/>
    <x v="771"/>
    <s v="Heidi"/>
    <s v="Jones"/>
    <x v="2"/>
    <x v="4"/>
    <s v="Pending"/>
    <s v="12/12/2024"/>
    <n v="84542.68"/>
    <s v="heidi.jones@example.com"/>
    <n v="-5155322"/>
    <x v="2"/>
    <b v="1"/>
    <d v="2024-12-12T00:00:00"/>
    <x v="4"/>
    <x v="1"/>
    <x v="1"/>
    <m/>
  </r>
  <r>
    <n v="772"/>
    <x v="772"/>
    <s v="Heidi"/>
    <s v="Smith"/>
    <x v="2"/>
    <x v="18"/>
    <s v="Active"/>
    <s v="5/16/2023"/>
    <n v="92007.15"/>
    <s v="heidi.smith@example.com"/>
    <n v="-4159597751"/>
    <x v="0"/>
    <b v="1"/>
    <d v="2023-05-16T00:00:00"/>
    <x v="1"/>
    <x v="3"/>
    <x v="1"/>
    <m/>
  </r>
  <r>
    <n v="773"/>
    <x v="773"/>
    <s v="Eva"/>
    <s v="Brown"/>
    <x v="1"/>
    <x v="10"/>
    <s v="Active"/>
    <s v="04/10/2020"/>
    <n v="62938.8"/>
    <s v="eva.brown@example.com"/>
    <n v="-4418222617"/>
    <x v="0"/>
    <b v="0"/>
    <d v="2020-04-10T00:00:00"/>
    <x v="0"/>
    <x v="5"/>
    <x v="0"/>
    <m/>
  </r>
  <r>
    <n v="774"/>
    <x v="774"/>
    <s v="Frank"/>
    <s v="Johnson"/>
    <x v="0"/>
    <x v="16"/>
    <s v="Pending"/>
    <s v="3/29/2023"/>
    <n v="108661.01"/>
    <s v="frank.johnson@example.com"/>
    <n v="-9628874311"/>
    <x v="3"/>
    <b v="0"/>
    <d v="2023-03-29T00:00:00"/>
    <x v="2"/>
    <x v="1"/>
    <x v="2"/>
    <m/>
  </r>
  <r>
    <n v="775"/>
    <x v="775"/>
    <s v="Bob"/>
    <s v="Jones"/>
    <x v="0"/>
    <x v="3"/>
    <s v="Active"/>
    <s v="11/26/2020"/>
    <n v="97046.33"/>
    <s v="bob.jones@example.com"/>
    <n v="-7102676719"/>
    <x v="2"/>
    <b v="0"/>
    <d v="2020-11-26T00:00:00"/>
    <x v="3"/>
    <x v="3"/>
    <x v="1"/>
    <m/>
  </r>
  <r>
    <n v="776"/>
    <x v="776"/>
    <s v="Charlie"/>
    <s v="Smith"/>
    <x v="2"/>
    <x v="10"/>
    <s v="Inactive"/>
    <s v="3/14/2020"/>
    <n v="56518.84"/>
    <s v="charlie.smith@example.com"/>
    <n v="-9579927078"/>
    <x v="0"/>
    <b v="0"/>
    <d v="2020-03-14T00:00:00"/>
    <x v="0"/>
    <x v="5"/>
    <x v="0"/>
    <m/>
  </r>
  <r>
    <n v="777"/>
    <x v="777"/>
    <s v="Frank"/>
    <s v="Garcia"/>
    <x v="2"/>
    <x v="3"/>
    <s v="Pending"/>
    <s v="05/12/2020"/>
    <n v="70498.289999999994"/>
    <s v="frank.garcia@example.com"/>
    <n v="-5515122945"/>
    <x v="2"/>
    <b v="1"/>
    <d v="2020-05-12T00:00:00"/>
    <x v="3"/>
    <x v="3"/>
    <x v="0"/>
    <m/>
  </r>
  <r>
    <n v="778"/>
    <x v="778"/>
    <s v="Eva"/>
    <s v="Garcia"/>
    <x v="4"/>
    <x v="9"/>
    <s v="Pending"/>
    <s v="03/05/2021"/>
    <n v="98708.06"/>
    <s v="eva.garcia@example.com"/>
    <n v="-2135415969"/>
    <x v="0"/>
    <b v="1"/>
    <d v="2021-03-05T00:00:00"/>
    <x v="4"/>
    <x v="3"/>
    <x v="2"/>
    <m/>
  </r>
  <r>
    <n v="779"/>
    <x v="779"/>
    <s v="Bob"/>
    <s v="Williams"/>
    <x v="1"/>
    <x v="35"/>
    <s v="Pending"/>
    <s v="6/28/2020"/>
    <n v="83856.41"/>
    <s v="bob.williams@example.com"/>
    <n v="-9962543847"/>
    <x v="1"/>
    <b v="0"/>
    <d v="2020-06-28T00:00:00"/>
    <x v="0"/>
    <x v="2"/>
    <x v="0"/>
    <m/>
  </r>
  <r>
    <n v="780"/>
    <x v="780"/>
    <s v="Eva"/>
    <s v="Smith"/>
    <x v="2"/>
    <x v="24"/>
    <s v="Inactive"/>
    <s v="12/12/2022"/>
    <n v="90259.99"/>
    <s v="eva.smith@example.com"/>
    <n v="-752034475"/>
    <x v="0"/>
    <b v="0"/>
    <d v="2022-12-12T00:00:00"/>
    <x v="4"/>
    <x v="0"/>
    <x v="1"/>
    <m/>
  </r>
  <r>
    <n v="781"/>
    <x v="781"/>
    <s v="Charlie"/>
    <s v="Williams"/>
    <x v="1"/>
    <x v="9"/>
    <s v="Pending"/>
    <s v="02/02/2024"/>
    <n v="94230.03"/>
    <s v="charlie.williams@example.com"/>
    <n v="-5047158028"/>
    <x v="1"/>
    <b v="1"/>
    <d v="2024-02-02T00:00:00"/>
    <x v="4"/>
    <x v="3"/>
    <x v="1"/>
    <m/>
  </r>
  <r>
    <n v="782"/>
    <x v="782"/>
    <s v="Charlie"/>
    <s v="Garcia"/>
    <x v="1"/>
    <x v="2"/>
    <s v="Inactive"/>
    <s v="1/31/2021"/>
    <n v="50110.66"/>
    <s v="charlie.garcia@example.com"/>
    <n v="-904637659"/>
    <x v="0"/>
    <b v="1"/>
    <d v="2021-01-31T00:00:00"/>
    <x v="2"/>
    <x v="2"/>
    <x v="1"/>
    <m/>
  </r>
  <r>
    <n v="783"/>
    <x v="783"/>
    <s v="Bob"/>
    <s v="Brown"/>
    <x v="3"/>
    <x v="9"/>
    <s v="Inactive"/>
    <s v="04/03/2020"/>
    <n v="73365.460000000006"/>
    <s v="bob.brown@example.com"/>
    <n v="-4655866524"/>
    <x v="3"/>
    <b v="0"/>
    <d v="2020-04-03T00:00:00"/>
    <x v="4"/>
    <x v="3"/>
    <x v="1"/>
    <m/>
  </r>
  <r>
    <n v="784"/>
    <x v="784"/>
    <s v="David"/>
    <s v="Johnson"/>
    <x v="0"/>
    <x v="5"/>
    <s v="Pending"/>
    <s v="7/30/2021"/>
    <n v="67809.23"/>
    <s v="david.johnson@example.com"/>
    <n v="-4837441714"/>
    <x v="1"/>
    <b v="0"/>
    <d v="2021-07-30T00:00:00"/>
    <x v="0"/>
    <x v="4"/>
    <x v="0"/>
    <m/>
  </r>
  <r>
    <n v="785"/>
    <x v="785"/>
    <s v="Eva"/>
    <s v="Smith"/>
    <x v="1"/>
    <x v="24"/>
    <s v="Active"/>
    <s v="8/21/2020"/>
    <n v="98008.51"/>
    <s v="eva.smith@example.com"/>
    <n v="-8102131250"/>
    <x v="0"/>
    <b v="0"/>
    <d v="2020-08-21T00:00:00"/>
    <x v="4"/>
    <x v="0"/>
    <x v="2"/>
    <m/>
  </r>
  <r>
    <n v="786"/>
    <x v="786"/>
    <s v="Alice"/>
    <s v="Davis"/>
    <x v="3"/>
    <x v="19"/>
    <s v="Inactive"/>
    <s v="10/09/2023"/>
    <n v="83537.58"/>
    <s v="alice.davis@example.com"/>
    <n v="-2931100590"/>
    <x v="3"/>
    <b v="0"/>
    <d v="2023-10-09T00:00:00"/>
    <x v="2"/>
    <x v="0"/>
    <x v="2"/>
    <m/>
  </r>
  <r>
    <n v="787"/>
    <x v="787"/>
    <s v="Alice"/>
    <s v="Garcia"/>
    <x v="3"/>
    <x v="30"/>
    <s v="Pending"/>
    <s v="08/01/2022"/>
    <n v="112444.08"/>
    <s v="alice.garcia@example.com"/>
    <n v="-2975191022"/>
    <x v="1"/>
    <b v="1"/>
    <d v="2022-08-01T00:00:00"/>
    <x v="1"/>
    <x v="4"/>
    <x v="2"/>
    <m/>
  </r>
  <r>
    <n v="788"/>
    <x v="788"/>
    <s v="Frank"/>
    <s v="Garcia"/>
    <x v="2"/>
    <x v="15"/>
    <s v="Active"/>
    <s v="09/06/2024"/>
    <n v="86475.13"/>
    <s v="frank.garcia@example.com"/>
    <n v="-1211063300"/>
    <x v="3"/>
    <b v="1"/>
    <d v="2024-09-06T00:00:00"/>
    <x v="1"/>
    <x v="2"/>
    <x v="1"/>
    <m/>
  </r>
  <r>
    <n v="789"/>
    <x v="789"/>
    <s v="Frank"/>
    <s v="Davis"/>
    <x v="1"/>
    <x v="4"/>
    <s v="Active"/>
    <s v="3/28/2023"/>
    <n v="97984.53"/>
    <s v="frank.davis@example.com"/>
    <n v="-6583737926"/>
    <x v="2"/>
    <b v="1"/>
    <d v="2023-03-28T00:00:00"/>
    <x v="4"/>
    <x v="1"/>
    <x v="2"/>
    <m/>
  </r>
  <r>
    <n v="790"/>
    <x v="790"/>
    <s v="Frank"/>
    <s v="Miller"/>
    <x v="0"/>
    <x v="19"/>
    <s v="Active"/>
    <s v="11/25/2021"/>
    <n v="118853.31"/>
    <s v="frank.miller@example.com"/>
    <n v="-4907280122"/>
    <x v="2"/>
    <b v="0"/>
    <d v="2021-11-25T00:00:00"/>
    <x v="2"/>
    <x v="0"/>
    <x v="2"/>
    <m/>
  </r>
  <r>
    <n v="791"/>
    <x v="791"/>
    <s v="Charlie"/>
    <s v="Garcia"/>
    <x v="1"/>
    <x v="9"/>
    <s v="Active"/>
    <s v="05/03/2023"/>
    <n v="58179.12"/>
    <s v="charlie.garcia@example.com"/>
    <n v="-4289311324"/>
    <x v="1"/>
    <b v="0"/>
    <d v="2023-05-03T00:00:00"/>
    <x v="4"/>
    <x v="3"/>
    <x v="1"/>
    <m/>
  </r>
  <r>
    <n v="792"/>
    <x v="792"/>
    <s v="Eva"/>
    <s v="Jones"/>
    <x v="4"/>
    <x v="32"/>
    <s v="Inactive"/>
    <s v="4/27/2022"/>
    <n v="56075.839999999997"/>
    <s v="eva.jones@example.com"/>
    <n v="-3269496842"/>
    <x v="0"/>
    <b v="1"/>
    <d v="2022-04-27T00:00:00"/>
    <x v="0"/>
    <x v="1"/>
    <x v="0"/>
    <m/>
  </r>
  <r>
    <n v="793"/>
    <x v="793"/>
    <s v="Frank"/>
    <s v="Brown"/>
    <x v="2"/>
    <x v="7"/>
    <s v="Pending"/>
    <s v="09/11/2021"/>
    <n v="62250.89"/>
    <s v="frank.brown@example.com"/>
    <n v="-6453804420"/>
    <x v="1"/>
    <b v="1"/>
    <d v="2021-09-11T00:00:00"/>
    <x v="5"/>
    <x v="4"/>
    <x v="1"/>
    <m/>
  </r>
  <r>
    <n v="794"/>
    <x v="794"/>
    <s v="Alice"/>
    <s v="Smith"/>
    <x v="3"/>
    <x v="3"/>
    <s v="Pending"/>
    <s v="2/21/2020"/>
    <n v="105931.77"/>
    <s v="alice.smith@example.com"/>
    <n v="-175096169"/>
    <x v="3"/>
    <b v="1"/>
    <d v="2020-02-21T00:00:00"/>
    <x v="3"/>
    <x v="3"/>
    <x v="1"/>
    <m/>
  </r>
  <r>
    <n v="795"/>
    <x v="795"/>
    <s v="Charlie"/>
    <s v="Davis"/>
    <x v="3"/>
    <x v="28"/>
    <s v="Pending"/>
    <s v="11/24/2024"/>
    <n v="86653.96"/>
    <s v="charlie.davis@example.com"/>
    <n v="-1595919456"/>
    <x v="0"/>
    <b v="1"/>
    <d v="2024-11-24T00:00:00"/>
    <x v="5"/>
    <x v="3"/>
    <x v="2"/>
    <m/>
  </r>
  <r>
    <n v="796"/>
    <x v="796"/>
    <s v="Charlie"/>
    <s v="Jones"/>
    <x v="0"/>
    <x v="29"/>
    <s v="Active"/>
    <s v="2/24/2021"/>
    <n v="100719.94"/>
    <s v="charlie.jones@example.com"/>
    <n v="-5757475832"/>
    <x v="2"/>
    <b v="0"/>
    <d v="2021-02-24T00:00:00"/>
    <x v="4"/>
    <x v="2"/>
    <x v="2"/>
    <m/>
  </r>
  <r>
    <n v="797"/>
    <x v="797"/>
    <s v="Bob"/>
    <s v="Davis"/>
    <x v="0"/>
    <x v="20"/>
    <s v="Pending"/>
    <s v="10/02/2024"/>
    <n v="91600.13"/>
    <s v="bob.davis@example.com"/>
    <n v="-9205677566"/>
    <x v="0"/>
    <b v="1"/>
    <d v="2024-10-02T00:00:00"/>
    <x v="5"/>
    <x v="1"/>
    <x v="2"/>
    <m/>
  </r>
  <r>
    <n v="798"/>
    <x v="798"/>
    <s v="Heidi"/>
    <s v="Smith"/>
    <x v="0"/>
    <x v="13"/>
    <s v="Pending"/>
    <s v="03/06/2024"/>
    <n v="71873.66"/>
    <s v="heidi.smith@example.com"/>
    <n v="-7722660255"/>
    <x v="2"/>
    <b v="1"/>
    <d v="2024-03-06T00:00:00"/>
    <x v="3"/>
    <x v="5"/>
    <x v="0"/>
    <m/>
  </r>
  <r>
    <n v="799"/>
    <x v="799"/>
    <s v="Eva"/>
    <s v="Williams"/>
    <x v="3"/>
    <x v="7"/>
    <s v="Active"/>
    <s v="08/09/2021"/>
    <n v="69365.47"/>
    <s v="eva.williams@example.com"/>
    <n v="-2650622922"/>
    <x v="0"/>
    <b v="1"/>
    <d v="2021-08-09T00:00:00"/>
    <x v="5"/>
    <x v="4"/>
    <x v="1"/>
    <m/>
  </r>
  <r>
    <n v="800"/>
    <x v="800"/>
    <s v="Heidi"/>
    <s v="Smith"/>
    <x v="0"/>
    <x v="7"/>
    <s v="Active"/>
    <s v="7/14/2021"/>
    <n v="58012.23"/>
    <s v="heidi.smith@example.com"/>
    <n v="-1067245306"/>
    <x v="0"/>
    <b v="1"/>
    <d v="2021-07-14T00:00:00"/>
    <x v="5"/>
    <x v="4"/>
    <x v="1"/>
    <m/>
  </r>
  <r>
    <n v="801"/>
    <x v="801"/>
    <s v="Bob"/>
    <s v="Miller"/>
    <x v="3"/>
    <x v="24"/>
    <s v="Pending"/>
    <s v="10/14/2021"/>
    <n v="68973.649999999994"/>
    <s v="bob.miller@example.com"/>
    <n v="-6248433796"/>
    <x v="0"/>
    <b v="1"/>
    <d v="2021-10-14T00:00:00"/>
    <x v="4"/>
    <x v="0"/>
    <x v="1"/>
    <m/>
  </r>
  <r>
    <n v="802"/>
    <x v="802"/>
    <s v="Eva"/>
    <s v="Smith"/>
    <x v="1"/>
    <x v="26"/>
    <s v="Active"/>
    <s v="9/29/2021"/>
    <n v="92928.4"/>
    <s v="eva.smith@example.com"/>
    <n v="-6627051156"/>
    <x v="3"/>
    <b v="1"/>
    <d v="2021-09-29T00:00:00"/>
    <x v="2"/>
    <x v="4"/>
    <x v="2"/>
    <m/>
  </r>
  <r>
    <n v="803"/>
    <x v="803"/>
    <s v="Heidi"/>
    <s v="Smith"/>
    <x v="0"/>
    <x v="16"/>
    <s v="Inactive"/>
    <s v="10/15/2023"/>
    <n v="53531.92"/>
    <s v="heidi.smith@example.com"/>
    <n v="-9423873669"/>
    <x v="3"/>
    <b v="1"/>
    <d v="2023-10-15T00:00:00"/>
    <x v="2"/>
    <x v="1"/>
    <x v="1"/>
    <m/>
  </r>
  <r>
    <n v="804"/>
    <x v="804"/>
    <s v="Bob"/>
    <s v="Miller"/>
    <x v="2"/>
    <x v="30"/>
    <s v="Pending"/>
    <s v="05/05/2023"/>
    <n v="112389.31"/>
    <s v="bob.miller@example.com"/>
    <n v="-4254969191"/>
    <x v="1"/>
    <b v="0"/>
    <d v="2023-05-05T00:00:00"/>
    <x v="1"/>
    <x v="4"/>
    <x v="2"/>
    <m/>
  </r>
  <r>
    <n v="805"/>
    <x v="805"/>
    <s v="Heidi"/>
    <s v="Brown"/>
    <x v="1"/>
    <x v="21"/>
    <s v="Inactive"/>
    <s v="08/01/2024"/>
    <n v="63870.3"/>
    <s v="heidi.brown@example.com"/>
    <n v="-8455259709"/>
    <x v="1"/>
    <b v="0"/>
    <d v="2024-08-01T00:00:00"/>
    <x v="5"/>
    <x v="0"/>
    <x v="1"/>
    <m/>
  </r>
  <r>
    <n v="806"/>
    <x v="806"/>
    <s v="Bob"/>
    <s v="Garcia"/>
    <x v="2"/>
    <x v="17"/>
    <s v="Active"/>
    <s v="7/22/2024"/>
    <n v="106164.53"/>
    <s v="bob.garcia@example.com"/>
    <n v="-7563353573"/>
    <x v="2"/>
    <b v="0"/>
    <d v="2024-07-22T00:00:00"/>
    <x v="4"/>
    <x v="4"/>
    <x v="2"/>
    <m/>
  </r>
  <r>
    <n v="807"/>
    <x v="807"/>
    <s v="Bob"/>
    <s v="Smith"/>
    <x v="2"/>
    <x v="22"/>
    <s v="Pending"/>
    <s v="12/25/2023"/>
    <n v="103654.54"/>
    <s v="bob.smith@example.com"/>
    <n v="-8595325938"/>
    <x v="3"/>
    <b v="0"/>
    <d v="2023-12-25T00:00:00"/>
    <x v="5"/>
    <x v="2"/>
    <x v="2"/>
    <m/>
  </r>
  <r>
    <n v="808"/>
    <x v="808"/>
    <s v="David"/>
    <s v="Miller"/>
    <x v="3"/>
    <x v="24"/>
    <s v="Inactive"/>
    <s v="3/13/2022"/>
    <n v="62834.720000000001"/>
    <s v="david.miller@example.com"/>
    <n v="-9337970580"/>
    <x v="2"/>
    <b v="1"/>
    <d v="2022-03-13T00:00:00"/>
    <x v="4"/>
    <x v="0"/>
    <x v="1"/>
    <m/>
  </r>
  <r>
    <n v="809"/>
    <x v="809"/>
    <s v="Frank"/>
    <s v="Jones"/>
    <x v="4"/>
    <x v="18"/>
    <s v="Active"/>
    <s v="5/13/2020"/>
    <n v="83273.41"/>
    <s v="frank.jones@example.com"/>
    <n v="-6295187793"/>
    <x v="1"/>
    <b v="0"/>
    <d v="2020-05-13T00:00:00"/>
    <x v="1"/>
    <x v="3"/>
    <x v="1"/>
    <m/>
  </r>
  <r>
    <n v="810"/>
    <x v="810"/>
    <s v="Heidi"/>
    <s v="Williams"/>
    <x v="3"/>
    <x v="21"/>
    <s v="Pending"/>
    <s v="3/22/2023"/>
    <n v="58917.58"/>
    <s v="heidi.williams@example.com"/>
    <n v="-1763425072"/>
    <x v="2"/>
    <b v="0"/>
    <d v="2023-03-22T00:00:00"/>
    <x v="5"/>
    <x v="0"/>
    <x v="1"/>
    <m/>
  </r>
  <r>
    <n v="811"/>
    <x v="811"/>
    <s v="Bob"/>
    <s v="Williams"/>
    <x v="4"/>
    <x v="29"/>
    <s v="Active"/>
    <s v="06/10/2024"/>
    <n v="71148.27"/>
    <s v="bob.williams@example.com"/>
    <n v="-3055978244"/>
    <x v="1"/>
    <b v="1"/>
    <d v="2024-06-10T00:00:00"/>
    <x v="4"/>
    <x v="2"/>
    <x v="1"/>
    <m/>
  </r>
  <r>
    <n v="812"/>
    <x v="812"/>
    <s v="Grace"/>
    <s v="Smith"/>
    <x v="3"/>
    <x v="17"/>
    <s v="Pending"/>
    <s v="11/21/2020"/>
    <n v="118172.42"/>
    <s v="grace.smith@example.com"/>
    <n v="-7598339913"/>
    <x v="3"/>
    <b v="1"/>
    <d v="2020-11-21T00:00:00"/>
    <x v="4"/>
    <x v="4"/>
    <x v="2"/>
    <m/>
  </r>
  <r>
    <n v="813"/>
    <x v="813"/>
    <s v="Frank"/>
    <s v="Brown"/>
    <x v="3"/>
    <x v="10"/>
    <s v="Inactive"/>
    <s v="5/25/2024"/>
    <n v="118614.37"/>
    <s v="frank.brown@example.com"/>
    <n v="-388436603"/>
    <x v="0"/>
    <b v="0"/>
    <d v="2024-05-25T00:00:00"/>
    <x v="0"/>
    <x v="5"/>
    <x v="1"/>
    <m/>
  </r>
  <r>
    <n v="814"/>
    <x v="814"/>
    <s v="Frank"/>
    <s v="Brown"/>
    <x v="1"/>
    <x v="5"/>
    <s v="Active"/>
    <s v="9/19/2023"/>
    <n v="96872.36"/>
    <s v="frank.brown@example.com"/>
    <n v="-4324006156"/>
    <x v="3"/>
    <b v="0"/>
    <d v="2023-09-19T00:00:00"/>
    <x v="0"/>
    <x v="4"/>
    <x v="1"/>
    <m/>
  </r>
  <r>
    <n v="815"/>
    <x v="815"/>
    <s v="Heidi"/>
    <s v="Jones"/>
    <x v="0"/>
    <x v="14"/>
    <s v="Inactive"/>
    <s v="10/28/2021"/>
    <n v="88856.14"/>
    <s v="heidi.jones@example.com"/>
    <n v="-2768297513"/>
    <x v="2"/>
    <b v="1"/>
    <d v="2021-10-28T00:00:00"/>
    <x v="4"/>
    <x v="5"/>
    <x v="1"/>
    <m/>
  </r>
  <r>
    <n v="816"/>
    <x v="816"/>
    <s v="Charlie"/>
    <s v="Smith"/>
    <x v="4"/>
    <x v="1"/>
    <s v="Pending"/>
    <s v="08/10/2020"/>
    <n v="97985.61"/>
    <s v="charlie.smith@example.com"/>
    <n v="-7439742924"/>
    <x v="2"/>
    <b v="0"/>
    <d v="2020-08-10T00:00:00"/>
    <x v="1"/>
    <x v="1"/>
    <x v="1"/>
    <m/>
  </r>
  <r>
    <n v="817"/>
    <x v="817"/>
    <s v="Grace"/>
    <s v="Williams"/>
    <x v="4"/>
    <x v="15"/>
    <s v="Pending"/>
    <s v="05/05/2020"/>
    <n v="56337.31"/>
    <s v="grace.williams@example.com"/>
    <n v="-105875255"/>
    <x v="3"/>
    <b v="1"/>
    <d v="2020-05-05T00:00:00"/>
    <x v="1"/>
    <x v="2"/>
    <x v="0"/>
    <m/>
  </r>
  <r>
    <n v="818"/>
    <x v="818"/>
    <s v="Alice"/>
    <s v="Brown"/>
    <x v="3"/>
    <x v="5"/>
    <s v="Inactive"/>
    <s v="12/24/2022"/>
    <n v="70405.23"/>
    <s v="alice.brown@example.com"/>
    <n v="-8065625903"/>
    <x v="3"/>
    <b v="1"/>
    <d v="2022-12-24T00:00:00"/>
    <x v="0"/>
    <x v="4"/>
    <x v="0"/>
    <m/>
  </r>
  <r>
    <n v="819"/>
    <x v="819"/>
    <s v="Heidi"/>
    <s v="Smith"/>
    <x v="3"/>
    <x v="2"/>
    <s v="Inactive"/>
    <s v="09/05/2021"/>
    <n v="89919.35"/>
    <s v="heidi.smith@example.com"/>
    <n v="-5990802710"/>
    <x v="1"/>
    <b v="1"/>
    <d v="2021-09-05T00:00:00"/>
    <x v="2"/>
    <x v="2"/>
    <x v="2"/>
    <m/>
  </r>
  <r>
    <n v="820"/>
    <x v="820"/>
    <s v="Eva"/>
    <s v="Davis"/>
    <x v="2"/>
    <x v="0"/>
    <s v="Active"/>
    <s v="04/08/2023"/>
    <n v="50568.35"/>
    <s v="eva.davis@example.com"/>
    <n v="-2218231554"/>
    <x v="2"/>
    <b v="1"/>
    <d v="2023-04-08T00:00:00"/>
    <x v="0"/>
    <x v="0"/>
    <x v="0"/>
    <m/>
  </r>
  <r>
    <n v="821"/>
    <x v="821"/>
    <s v="Grace"/>
    <s v="Brown"/>
    <x v="3"/>
    <x v="20"/>
    <s v="Inactive"/>
    <s v="1/29/2023"/>
    <n v="85165.05"/>
    <s v="grace.brown@example.com"/>
    <n v="-1651768085"/>
    <x v="2"/>
    <b v="0"/>
    <d v="2023-01-29T00:00:00"/>
    <x v="5"/>
    <x v="1"/>
    <x v="2"/>
    <m/>
  </r>
  <r>
    <n v="822"/>
    <x v="822"/>
    <s v="Frank"/>
    <s v="Miller"/>
    <x v="0"/>
    <x v="20"/>
    <s v="Active"/>
    <s v="06/03/2022"/>
    <n v="99155.53"/>
    <s v="frank.miller@example.com"/>
    <n v="-6281372142"/>
    <x v="3"/>
    <b v="1"/>
    <d v="2022-06-03T00:00:00"/>
    <x v="5"/>
    <x v="1"/>
    <x v="2"/>
    <m/>
  </r>
  <r>
    <n v="823"/>
    <x v="823"/>
    <s v="Frank"/>
    <s v="Davis"/>
    <x v="2"/>
    <x v="18"/>
    <s v="Inactive"/>
    <s v="1/21/2023"/>
    <n v="64785.13"/>
    <s v="frank.davis@example.com"/>
    <n v="-3080037002"/>
    <x v="0"/>
    <b v="1"/>
    <d v="2023-01-21T00:00:00"/>
    <x v="1"/>
    <x v="3"/>
    <x v="1"/>
    <m/>
  </r>
  <r>
    <n v="824"/>
    <x v="824"/>
    <s v="Charlie"/>
    <s v="Garcia"/>
    <x v="3"/>
    <x v="9"/>
    <s v="Inactive"/>
    <s v="9/16/2024"/>
    <n v="79206.48"/>
    <s v="charlie.garcia@example.com"/>
    <n v="-3228556607"/>
    <x v="2"/>
    <b v="0"/>
    <d v="2024-09-16T00:00:00"/>
    <x v="4"/>
    <x v="3"/>
    <x v="1"/>
    <m/>
  </r>
  <r>
    <n v="825"/>
    <x v="825"/>
    <s v="Charlie"/>
    <s v="Brown"/>
    <x v="3"/>
    <x v="23"/>
    <s v="Pending"/>
    <s v="02/02/2020"/>
    <n v="60079.71"/>
    <s v="charlie.brown@example.com"/>
    <n v="-4706810389"/>
    <x v="0"/>
    <b v="1"/>
    <d v="2020-02-02T00:00:00"/>
    <x v="3"/>
    <x v="1"/>
    <x v="0"/>
    <m/>
  </r>
  <r>
    <n v="826"/>
    <x v="826"/>
    <s v="Grace"/>
    <s v="Williams"/>
    <x v="3"/>
    <x v="6"/>
    <s v="Pending"/>
    <s v="07/08/2024"/>
    <n v="79109.88"/>
    <s v="grace.williams@example.com"/>
    <n v="-3397051957"/>
    <x v="3"/>
    <b v="0"/>
    <d v="2024-07-08T00:00:00"/>
    <x v="3"/>
    <x v="4"/>
    <x v="0"/>
    <m/>
  </r>
  <r>
    <n v="827"/>
    <x v="827"/>
    <s v="Grace"/>
    <s v="Johnson"/>
    <x v="1"/>
    <x v="27"/>
    <s v="Pending"/>
    <s v="5/18/2022"/>
    <n v="88643.5"/>
    <s v="grace.johnson@example.com"/>
    <n v="-2632809447"/>
    <x v="3"/>
    <b v="0"/>
    <d v="2022-05-18T00:00:00"/>
    <x v="2"/>
    <x v="3"/>
    <x v="2"/>
    <m/>
  </r>
  <r>
    <n v="828"/>
    <x v="828"/>
    <s v="Frank"/>
    <s v="Davis"/>
    <x v="3"/>
    <x v="27"/>
    <s v="Pending"/>
    <s v="1/16/2020"/>
    <n v="90455.7"/>
    <s v="frank.davis@example.com"/>
    <n v="-5862394534"/>
    <x v="1"/>
    <b v="0"/>
    <d v="2020-01-16T00:00:00"/>
    <x v="2"/>
    <x v="3"/>
    <x v="2"/>
    <m/>
  </r>
  <r>
    <n v="829"/>
    <x v="829"/>
    <s v="David"/>
    <s v="Garcia"/>
    <x v="1"/>
    <x v="28"/>
    <s v="Pending"/>
    <s v="3/26/2023"/>
    <n v="75687.899999999994"/>
    <s v="david.garcia@example.com"/>
    <n v="-4614707985"/>
    <x v="2"/>
    <b v="1"/>
    <d v="2023-03-26T00:00:00"/>
    <x v="5"/>
    <x v="3"/>
    <x v="1"/>
    <m/>
  </r>
  <r>
    <n v="830"/>
    <x v="830"/>
    <s v="Heidi"/>
    <s v="Jones"/>
    <x v="4"/>
    <x v="13"/>
    <s v="Inactive"/>
    <s v="11/15/2023"/>
    <n v="55604.42"/>
    <s v="heidi.jones@example.com"/>
    <n v="-3210613393"/>
    <x v="0"/>
    <b v="0"/>
    <d v="2023-11-15T00:00:00"/>
    <x v="3"/>
    <x v="5"/>
    <x v="0"/>
    <m/>
  </r>
  <r>
    <n v="831"/>
    <x v="831"/>
    <s v="Eva"/>
    <s v="Jones"/>
    <x v="2"/>
    <x v="4"/>
    <s v="Pending"/>
    <s v="12/27/2024"/>
    <n v="92704.94"/>
    <s v="eva.jones@example.com"/>
    <n v="-3945703942"/>
    <x v="1"/>
    <b v="0"/>
    <d v="2024-12-27T00:00:00"/>
    <x v="4"/>
    <x v="1"/>
    <x v="1"/>
    <m/>
  </r>
  <r>
    <n v="832"/>
    <x v="832"/>
    <s v="Bob"/>
    <s v="Williams"/>
    <x v="1"/>
    <x v="24"/>
    <s v="Pending"/>
    <s v="4/18/2020"/>
    <n v="113250.97"/>
    <s v="bob.williams@example.com"/>
    <n v="-8040325375"/>
    <x v="2"/>
    <b v="1"/>
    <d v="2020-04-18T00:00:00"/>
    <x v="4"/>
    <x v="0"/>
    <x v="2"/>
    <m/>
  </r>
  <r>
    <n v="833"/>
    <x v="833"/>
    <s v="Alice"/>
    <s v="Brown"/>
    <x v="2"/>
    <x v="33"/>
    <s v="Inactive"/>
    <s v="3/21/2023"/>
    <n v="101367.02"/>
    <s v="alice.brown@example.com"/>
    <n v="-5769277893"/>
    <x v="1"/>
    <b v="0"/>
    <d v="2023-03-21T00:00:00"/>
    <x v="1"/>
    <x v="5"/>
    <x v="1"/>
    <m/>
  </r>
  <r>
    <n v="834"/>
    <x v="834"/>
    <s v="Eva"/>
    <s v="Smith"/>
    <x v="4"/>
    <x v="16"/>
    <s v="Pending"/>
    <s v="05/08/2023"/>
    <n v="102459.77"/>
    <s v="eva.smith@example.com"/>
    <n v="-3191009003"/>
    <x v="3"/>
    <b v="0"/>
    <d v="2023-05-08T00:00:00"/>
    <x v="2"/>
    <x v="1"/>
    <x v="2"/>
    <m/>
  </r>
  <r>
    <n v="835"/>
    <x v="835"/>
    <s v="Eva"/>
    <s v="Brown"/>
    <x v="0"/>
    <x v="31"/>
    <s v="Pending"/>
    <s v="12/12/2020"/>
    <n v="90100.2"/>
    <s v="eva.brown@example.com"/>
    <n v="-476921052"/>
    <x v="2"/>
    <b v="0"/>
    <d v="2020-12-12T00:00:00"/>
    <x v="0"/>
    <x v="3"/>
    <x v="1"/>
    <m/>
  </r>
  <r>
    <n v="836"/>
    <x v="836"/>
    <s v="Eva"/>
    <s v="Williams"/>
    <x v="1"/>
    <x v="34"/>
    <s v="Inactive"/>
    <s v="6/17/2020"/>
    <n v="58877.49"/>
    <s v="eva.williams@example.com"/>
    <n v="-3651460400"/>
    <x v="1"/>
    <b v="0"/>
    <d v="2020-06-17T00:00:00"/>
    <x v="3"/>
    <x v="0"/>
    <x v="0"/>
    <m/>
  </r>
  <r>
    <n v="837"/>
    <x v="837"/>
    <s v="Eva"/>
    <s v="Jones"/>
    <x v="4"/>
    <x v="12"/>
    <s v="Inactive"/>
    <s v="7/17/2021"/>
    <n v="85165.05"/>
    <s v="eva.jones@example.com"/>
    <n v="-4247310719"/>
    <x v="1"/>
    <b v="0"/>
    <d v="2021-07-17T00:00:00"/>
    <x v="2"/>
    <x v="5"/>
    <x v="2"/>
    <m/>
  </r>
  <r>
    <n v="838"/>
    <x v="838"/>
    <s v="Bob"/>
    <s v="Brown"/>
    <x v="1"/>
    <x v="12"/>
    <s v="Pending"/>
    <s v="11/05/2020"/>
    <n v="96140.89"/>
    <s v="bob.brown@example.com"/>
    <n v="-1137984408"/>
    <x v="0"/>
    <b v="1"/>
    <d v="2020-11-05T00:00:00"/>
    <x v="2"/>
    <x v="5"/>
    <x v="2"/>
    <m/>
  </r>
  <r>
    <n v="839"/>
    <x v="839"/>
    <s v="Charlie"/>
    <s v="Jones"/>
    <x v="4"/>
    <x v="5"/>
    <s v="Inactive"/>
    <s v="01/05/2021"/>
    <n v="105956.04"/>
    <s v="charlie.jones@example.com"/>
    <n v="-7123166006"/>
    <x v="1"/>
    <b v="0"/>
    <d v="2021-01-05T00:00:00"/>
    <x v="0"/>
    <x v="4"/>
    <x v="1"/>
    <m/>
  </r>
  <r>
    <n v="840"/>
    <x v="840"/>
    <s v="Frank"/>
    <s v="Davis"/>
    <x v="0"/>
    <x v="12"/>
    <s v="Active"/>
    <s v="09/11/2024"/>
    <n v="84716.38"/>
    <s v="frank.davis@example.com"/>
    <n v="-6762090143"/>
    <x v="2"/>
    <b v="0"/>
    <d v="2024-09-11T00:00:00"/>
    <x v="2"/>
    <x v="5"/>
    <x v="2"/>
    <m/>
  </r>
  <r>
    <n v="841"/>
    <x v="841"/>
    <s v="Grace"/>
    <s v="Garcia"/>
    <x v="3"/>
    <x v="31"/>
    <s v="Pending"/>
    <s v="7/29/2023"/>
    <n v="61709.83"/>
    <s v="grace.garcia@example.com"/>
    <n v="-7340433699"/>
    <x v="2"/>
    <b v="1"/>
    <d v="2023-07-29T00:00:00"/>
    <x v="0"/>
    <x v="3"/>
    <x v="0"/>
    <m/>
  </r>
  <r>
    <n v="842"/>
    <x v="842"/>
    <s v="Frank"/>
    <s v="Smith"/>
    <x v="0"/>
    <x v="0"/>
    <s v="Active"/>
    <s v="4/17/2020"/>
    <n v="61732.03"/>
    <s v="frank.smith@example.com"/>
    <n v="-9687304518"/>
    <x v="0"/>
    <b v="1"/>
    <d v="2020-04-17T00:00:00"/>
    <x v="0"/>
    <x v="0"/>
    <x v="0"/>
    <m/>
  </r>
  <r>
    <n v="843"/>
    <x v="843"/>
    <s v="Eva"/>
    <s v="Davis"/>
    <x v="2"/>
    <x v="10"/>
    <s v="Active"/>
    <s v="2/16/2022"/>
    <n v="97845.7"/>
    <s v="eva.davis@example.com"/>
    <n v="-5778255881"/>
    <x v="2"/>
    <b v="1"/>
    <d v="2022-02-16T00:00:00"/>
    <x v="0"/>
    <x v="5"/>
    <x v="1"/>
    <m/>
  </r>
  <r>
    <n v="844"/>
    <x v="844"/>
    <s v="Eva"/>
    <s v="Jones"/>
    <x v="3"/>
    <x v="9"/>
    <s v="Active"/>
    <s v="8/14/2021"/>
    <n v="114905.58"/>
    <s v="eva.jones@example.com"/>
    <n v="-5562965753"/>
    <x v="3"/>
    <b v="0"/>
    <d v="2021-08-14T00:00:00"/>
    <x v="4"/>
    <x v="3"/>
    <x v="2"/>
    <m/>
  </r>
  <r>
    <n v="845"/>
    <x v="845"/>
    <s v="Frank"/>
    <s v="Jones"/>
    <x v="1"/>
    <x v="32"/>
    <s v="Active"/>
    <s v="12/24/2022"/>
    <n v="94619.69"/>
    <s v="frank.jones@example.com"/>
    <n v="-2786561941"/>
    <x v="2"/>
    <b v="1"/>
    <d v="2022-12-24T00:00:00"/>
    <x v="0"/>
    <x v="1"/>
    <x v="1"/>
    <m/>
  </r>
  <r>
    <n v="846"/>
    <x v="846"/>
    <s v="Grace"/>
    <s v="Johnson"/>
    <x v="1"/>
    <x v="0"/>
    <s v="Inactive"/>
    <s v="07/07/2021"/>
    <n v="68696.149999999994"/>
    <s v="grace.johnson@example.com"/>
    <n v="-5577820581"/>
    <x v="2"/>
    <b v="0"/>
    <d v="2021-07-07T00:00:00"/>
    <x v="0"/>
    <x v="0"/>
    <x v="0"/>
    <m/>
  </r>
  <r>
    <n v="847"/>
    <x v="847"/>
    <s v="Grace"/>
    <s v="Johnson"/>
    <x v="2"/>
    <x v="35"/>
    <s v="Active"/>
    <s v="02/12/2024"/>
    <n v="97032.29"/>
    <s v="grace.johnson@example.com"/>
    <n v="-9582923615"/>
    <x v="1"/>
    <b v="0"/>
    <d v="2024-02-12T00:00:00"/>
    <x v="0"/>
    <x v="2"/>
    <x v="1"/>
    <m/>
  </r>
  <r>
    <n v="848"/>
    <x v="848"/>
    <s v="Frank"/>
    <s v="Davis"/>
    <x v="3"/>
    <x v="25"/>
    <s v="Active"/>
    <s v="10/09/2023"/>
    <n v="50593.33"/>
    <s v="frank.davis@example.com"/>
    <n v="-1880819047"/>
    <x v="1"/>
    <b v="1"/>
    <d v="2023-10-09T00:00:00"/>
    <x v="5"/>
    <x v="5"/>
    <x v="1"/>
    <m/>
  </r>
  <r>
    <n v="849"/>
    <x v="849"/>
    <s v="Grace"/>
    <s v="Miller"/>
    <x v="0"/>
    <x v="4"/>
    <s v="Pending"/>
    <s v="07/02/2022"/>
    <n v="74606.149999999994"/>
    <s v="grace.miller@example.com"/>
    <n v="-2357155867"/>
    <x v="2"/>
    <b v="1"/>
    <d v="2022-07-02T00:00:00"/>
    <x v="4"/>
    <x v="1"/>
    <x v="1"/>
    <m/>
  </r>
  <r>
    <n v="850"/>
    <x v="850"/>
    <s v="Eva"/>
    <s v="Davis"/>
    <x v="3"/>
    <x v="23"/>
    <s v="Pending"/>
    <s v="07/07/2020"/>
    <n v="53981.73"/>
    <s v="eva.davis@example.com"/>
    <n v="-6395613722"/>
    <x v="0"/>
    <b v="0"/>
    <d v="2020-07-07T00:00:00"/>
    <x v="3"/>
    <x v="1"/>
    <x v="0"/>
    <m/>
  </r>
  <r>
    <n v="851"/>
    <x v="851"/>
    <s v="David"/>
    <s v="Johnson"/>
    <x v="1"/>
    <x v="32"/>
    <s v="Pending"/>
    <s v="09/02/2020"/>
    <n v="56047.05"/>
    <s v="david.johnson@example.com"/>
    <n v="-817214363"/>
    <x v="1"/>
    <b v="1"/>
    <d v="2020-09-02T00:00:00"/>
    <x v="0"/>
    <x v="1"/>
    <x v="0"/>
    <m/>
  </r>
  <r>
    <n v="852"/>
    <x v="852"/>
    <s v="Grace"/>
    <s v="Jones"/>
    <x v="1"/>
    <x v="16"/>
    <s v="Pending"/>
    <s v="01/12/2021"/>
    <n v="67733.5"/>
    <s v="grace.jones@example.com"/>
    <n v="-3813000412"/>
    <x v="0"/>
    <b v="0"/>
    <d v="2021-01-12T00:00:00"/>
    <x v="2"/>
    <x v="1"/>
    <x v="1"/>
    <m/>
  </r>
  <r>
    <n v="853"/>
    <x v="853"/>
    <s v="Bob"/>
    <s v="Williams"/>
    <x v="2"/>
    <x v="28"/>
    <s v="Pending"/>
    <s v="9/29/2023"/>
    <n v="103891.64"/>
    <s v="bob.williams@example.com"/>
    <n v="-2114716559"/>
    <x v="2"/>
    <b v="1"/>
    <d v="2023-09-29T00:00:00"/>
    <x v="5"/>
    <x v="3"/>
    <x v="2"/>
    <m/>
  </r>
  <r>
    <n v="854"/>
    <x v="854"/>
    <s v="Charlie"/>
    <s v="Davis"/>
    <x v="0"/>
    <x v="20"/>
    <s v="Inactive"/>
    <s v="03/06/2022"/>
    <n v="73285.83"/>
    <s v="charlie.davis@example.com"/>
    <n v="-9456534698"/>
    <x v="2"/>
    <b v="1"/>
    <d v="2022-03-06T00:00:00"/>
    <x v="5"/>
    <x v="1"/>
    <x v="1"/>
    <m/>
  </r>
  <r>
    <n v="855"/>
    <x v="855"/>
    <s v="Eva"/>
    <s v="Jones"/>
    <x v="3"/>
    <x v="1"/>
    <s v="Inactive"/>
    <s v="2/14/2021"/>
    <n v="92721.13"/>
    <s v="eva.jones@example.com"/>
    <n v="-7990707549"/>
    <x v="3"/>
    <b v="1"/>
    <d v="2021-02-14T00:00:00"/>
    <x v="1"/>
    <x v="1"/>
    <x v="1"/>
    <m/>
  </r>
  <r>
    <n v="856"/>
    <x v="856"/>
    <s v="Heidi"/>
    <s v="Williams"/>
    <x v="0"/>
    <x v="12"/>
    <s v="Inactive"/>
    <s v="3/23/2021"/>
    <n v="92977.64"/>
    <s v="heidi.williams@example.com"/>
    <n v="-4768169956"/>
    <x v="1"/>
    <b v="0"/>
    <d v="2021-03-23T00:00:00"/>
    <x v="2"/>
    <x v="5"/>
    <x v="2"/>
    <m/>
  </r>
  <r>
    <n v="857"/>
    <x v="857"/>
    <s v="Heidi"/>
    <s v="Williams"/>
    <x v="4"/>
    <x v="23"/>
    <s v="Active"/>
    <s v="5/24/2020"/>
    <n v="89994.12"/>
    <s v="heidi.williams@example.com"/>
    <n v="-607174810"/>
    <x v="2"/>
    <b v="1"/>
    <d v="2020-05-24T00:00:00"/>
    <x v="3"/>
    <x v="1"/>
    <x v="1"/>
    <m/>
  </r>
  <r>
    <n v="858"/>
    <x v="858"/>
    <s v="Heidi"/>
    <s v="Johnson"/>
    <x v="0"/>
    <x v="30"/>
    <s v="Pending"/>
    <s v="08/04/2023"/>
    <n v="50060.73"/>
    <s v="heidi.johnson@example.com"/>
    <n v="-3176539704"/>
    <x v="3"/>
    <b v="0"/>
    <d v="2023-08-04T00:00:00"/>
    <x v="1"/>
    <x v="4"/>
    <x v="0"/>
    <m/>
  </r>
  <r>
    <n v="859"/>
    <x v="859"/>
    <s v="Grace"/>
    <s v="Davis"/>
    <x v="4"/>
    <x v="2"/>
    <s v="Inactive"/>
    <s v="03/12/2022"/>
    <n v="90224.82"/>
    <s v="grace.davis@example.com"/>
    <n v="-4873961028"/>
    <x v="1"/>
    <b v="0"/>
    <d v="2022-03-12T00:00:00"/>
    <x v="2"/>
    <x v="2"/>
    <x v="2"/>
    <m/>
  </r>
  <r>
    <n v="860"/>
    <x v="860"/>
    <s v="Heidi"/>
    <s v="Brown"/>
    <x v="2"/>
    <x v="18"/>
    <s v="Pending"/>
    <s v="5/18/2024"/>
    <n v="106859.3"/>
    <s v="heidi.brown@example.com"/>
    <n v="-871827495"/>
    <x v="2"/>
    <b v="0"/>
    <d v="2024-05-18T00:00:00"/>
    <x v="1"/>
    <x v="3"/>
    <x v="2"/>
    <m/>
  </r>
  <r>
    <n v="861"/>
    <x v="861"/>
    <s v="David"/>
    <s v="Smith"/>
    <x v="0"/>
    <x v="15"/>
    <s v="Inactive"/>
    <s v="09/05/2020"/>
    <n v="89707.07"/>
    <s v="david.smith@example.com"/>
    <n v="-8049187273"/>
    <x v="2"/>
    <b v="0"/>
    <d v="2020-09-05T00:00:00"/>
    <x v="1"/>
    <x v="2"/>
    <x v="1"/>
    <m/>
  </r>
  <r>
    <n v="862"/>
    <x v="862"/>
    <s v="Frank"/>
    <s v="Johnson"/>
    <x v="4"/>
    <x v="0"/>
    <s v="Inactive"/>
    <s v="4/23/2020"/>
    <n v="94259.08"/>
    <s v="frank.johnson@example.com"/>
    <n v="-2049561212"/>
    <x v="1"/>
    <b v="1"/>
    <d v="2020-04-23T00:00:00"/>
    <x v="0"/>
    <x v="0"/>
    <x v="1"/>
    <m/>
  </r>
  <r>
    <n v="863"/>
    <x v="863"/>
    <s v="Bob"/>
    <s v="Johnson"/>
    <x v="4"/>
    <x v="24"/>
    <s v="Active"/>
    <s v="9/18/2024"/>
    <n v="82174.75"/>
    <s v="bob.johnson@example.com"/>
    <n v="-7730626041"/>
    <x v="1"/>
    <b v="0"/>
    <d v="2024-09-18T00:00:00"/>
    <x v="4"/>
    <x v="0"/>
    <x v="1"/>
    <m/>
  </r>
  <r>
    <n v="864"/>
    <x v="864"/>
    <s v="David"/>
    <s v="Brown"/>
    <x v="3"/>
    <x v="4"/>
    <s v="Inactive"/>
    <s v="9/15/2023"/>
    <n v="63370.22"/>
    <s v="david.brown@example.com"/>
    <n v="-3597371121"/>
    <x v="1"/>
    <b v="0"/>
    <d v="2023-09-15T00:00:00"/>
    <x v="4"/>
    <x v="1"/>
    <x v="1"/>
    <m/>
  </r>
  <r>
    <n v="865"/>
    <x v="865"/>
    <s v="Bob"/>
    <s v="Smith"/>
    <x v="4"/>
    <x v="1"/>
    <s v="Pending"/>
    <s v="6/15/2022"/>
    <n v="101472.69"/>
    <s v="bob.smith@example.com"/>
    <n v="-2990775607"/>
    <x v="2"/>
    <b v="1"/>
    <d v="2022-06-15T00:00:00"/>
    <x v="1"/>
    <x v="1"/>
    <x v="1"/>
    <m/>
  </r>
  <r>
    <n v="866"/>
    <x v="866"/>
    <s v="David"/>
    <s v="Jones"/>
    <x v="0"/>
    <x v="10"/>
    <s v="Active"/>
    <s v="9/28/2022"/>
    <n v="77213.73"/>
    <s v="david.jones@example.com"/>
    <n v="-5816704685"/>
    <x v="2"/>
    <b v="0"/>
    <d v="2022-09-28T00:00:00"/>
    <x v="0"/>
    <x v="5"/>
    <x v="0"/>
    <m/>
  </r>
  <r>
    <n v="867"/>
    <x v="867"/>
    <s v="Eva"/>
    <s v="Miller"/>
    <x v="2"/>
    <x v="9"/>
    <s v="Active"/>
    <s v="3/16/2020"/>
    <n v="73749.960000000006"/>
    <s v="eva.miller@example.com"/>
    <n v="-1114576831"/>
    <x v="3"/>
    <b v="1"/>
    <d v="2020-03-16T00:00:00"/>
    <x v="4"/>
    <x v="3"/>
    <x v="1"/>
    <m/>
  </r>
  <r>
    <n v="868"/>
    <x v="868"/>
    <s v="Alice"/>
    <s v="Davis"/>
    <x v="2"/>
    <x v="6"/>
    <s v="Pending"/>
    <s v="9/28/2023"/>
    <n v="86618.37"/>
    <s v="alice.davis@example.com"/>
    <n v="-1021923784"/>
    <x v="0"/>
    <b v="0"/>
    <d v="2023-09-28T00:00:00"/>
    <x v="3"/>
    <x v="4"/>
    <x v="1"/>
    <m/>
  </r>
  <r>
    <n v="869"/>
    <x v="869"/>
    <s v="Charlie"/>
    <s v="Miller"/>
    <x v="1"/>
    <x v="16"/>
    <s v="Active"/>
    <s v="2/15/2024"/>
    <n v="59911.33"/>
    <s v="charlie.miller@example.com"/>
    <n v="-8471296179"/>
    <x v="1"/>
    <b v="1"/>
    <d v="2024-02-15T00:00:00"/>
    <x v="2"/>
    <x v="1"/>
    <x v="1"/>
    <m/>
  </r>
  <r>
    <n v="870"/>
    <x v="870"/>
    <s v="Heidi"/>
    <s v="Jones"/>
    <x v="1"/>
    <x v="6"/>
    <s v="Pending"/>
    <s v="8/21/2023"/>
    <n v="59137.64"/>
    <s v="heidi.jones@example.com"/>
    <n v="-3324260507"/>
    <x v="2"/>
    <b v="0"/>
    <d v="2023-08-21T00:00:00"/>
    <x v="3"/>
    <x v="4"/>
    <x v="0"/>
    <m/>
  </r>
  <r>
    <n v="871"/>
    <x v="871"/>
    <s v="Alice"/>
    <s v="Garcia"/>
    <x v="4"/>
    <x v="3"/>
    <s v="Pending"/>
    <s v="12/15/2020"/>
    <n v="108474.65"/>
    <s v="alice.garcia@example.com"/>
    <n v="-184980424"/>
    <x v="2"/>
    <b v="1"/>
    <d v="2020-12-15T00:00:00"/>
    <x v="3"/>
    <x v="3"/>
    <x v="1"/>
    <m/>
  </r>
  <r>
    <n v="872"/>
    <x v="872"/>
    <s v="Bob"/>
    <s v="Johnson"/>
    <x v="0"/>
    <x v="33"/>
    <s v="Pending"/>
    <s v="3/27/2021"/>
    <n v="54417.71"/>
    <s v="bob.johnson@example.com"/>
    <n v="-3733777311"/>
    <x v="1"/>
    <b v="0"/>
    <d v="2021-03-27T00:00:00"/>
    <x v="1"/>
    <x v="5"/>
    <x v="0"/>
    <m/>
  </r>
  <r>
    <n v="873"/>
    <x v="873"/>
    <s v="Frank"/>
    <s v="Smith"/>
    <x v="2"/>
    <x v="20"/>
    <s v="Pending"/>
    <s v="3/25/2023"/>
    <n v="88211.94"/>
    <s v="frank.smith@example.com"/>
    <n v="-6881228216"/>
    <x v="0"/>
    <b v="0"/>
    <d v="2023-03-25T00:00:00"/>
    <x v="5"/>
    <x v="1"/>
    <x v="2"/>
    <m/>
  </r>
  <r>
    <n v="874"/>
    <x v="874"/>
    <s v="David"/>
    <s v="Johnson"/>
    <x v="0"/>
    <x v="17"/>
    <s v="Inactive"/>
    <s v="05/09/2020"/>
    <n v="58452.18"/>
    <s v="david.johnson@example.com"/>
    <n v="-8192365345"/>
    <x v="1"/>
    <b v="1"/>
    <d v="2020-05-09T00:00:00"/>
    <x v="4"/>
    <x v="4"/>
    <x v="1"/>
    <m/>
  </r>
  <r>
    <n v="875"/>
    <x v="875"/>
    <s v="Grace"/>
    <s v="Williams"/>
    <x v="3"/>
    <x v="0"/>
    <s v="Pending"/>
    <s v="12/03/2020"/>
    <n v="80706.28"/>
    <s v="grace.williams@example.com"/>
    <n v="-605603566"/>
    <x v="0"/>
    <b v="1"/>
    <d v="2020-12-03T00:00:00"/>
    <x v="0"/>
    <x v="0"/>
    <x v="0"/>
    <m/>
  </r>
  <r>
    <n v="876"/>
    <x v="876"/>
    <s v="Alice"/>
    <s v="Johnson"/>
    <x v="3"/>
    <x v="11"/>
    <s v="Pending"/>
    <s v="02/09/2022"/>
    <n v="85165.05"/>
    <s v="alice.johnson@example.com"/>
    <n v="-9327986238"/>
    <x v="2"/>
    <b v="1"/>
    <d v="2022-02-09T00:00:00"/>
    <x v="3"/>
    <x v="2"/>
    <x v="1"/>
    <m/>
  </r>
  <r>
    <n v="877"/>
    <x v="877"/>
    <s v="Heidi"/>
    <s v="Johnson"/>
    <x v="0"/>
    <x v="23"/>
    <s v="Active"/>
    <s v="07/01/2020"/>
    <n v="99471.89"/>
    <s v="heidi.johnson@example.com"/>
    <n v="-8471690617"/>
    <x v="0"/>
    <b v="1"/>
    <d v="2020-07-01T00:00:00"/>
    <x v="3"/>
    <x v="1"/>
    <x v="1"/>
    <m/>
  </r>
  <r>
    <n v="878"/>
    <x v="878"/>
    <s v="Eva"/>
    <s v="Jones"/>
    <x v="2"/>
    <x v="31"/>
    <s v="Pending"/>
    <s v="9/16/2020"/>
    <n v="64431.22"/>
    <s v="eva.jones@example.com"/>
    <n v="-1205464753"/>
    <x v="3"/>
    <b v="0"/>
    <d v="2020-09-16T00:00:00"/>
    <x v="0"/>
    <x v="3"/>
    <x v="0"/>
    <m/>
  </r>
  <r>
    <n v="879"/>
    <x v="879"/>
    <s v="Heidi"/>
    <s v="Jones"/>
    <x v="2"/>
    <x v="26"/>
    <s v="Pending"/>
    <s v="11/17/2023"/>
    <n v="52633.48"/>
    <s v="heidi.jones@example.com"/>
    <n v="-8954787697"/>
    <x v="2"/>
    <b v="0"/>
    <d v="2023-11-17T00:00:00"/>
    <x v="2"/>
    <x v="4"/>
    <x v="1"/>
    <m/>
  </r>
  <r>
    <n v="880"/>
    <x v="880"/>
    <s v="Heidi"/>
    <s v="Jones"/>
    <x v="1"/>
    <x v="11"/>
    <s v="Inactive"/>
    <s v="12/13/2021"/>
    <n v="79315.009999999995"/>
    <s v="heidi.jones@example.com"/>
    <n v="-9992751757"/>
    <x v="3"/>
    <b v="1"/>
    <d v="2021-12-13T00:00:00"/>
    <x v="3"/>
    <x v="2"/>
    <x v="0"/>
    <m/>
  </r>
  <r>
    <n v="881"/>
    <x v="881"/>
    <s v="David"/>
    <s v="Miller"/>
    <x v="0"/>
    <x v="4"/>
    <s v="Pending"/>
    <s v="01/11/2022"/>
    <n v="110391.17"/>
    <s v="david.miller@example.com"/>
    <n v="-8914444982"/>
    <x v="1"/>
    <b v="0"/>
    <d v="2022-01-11T00:00:00"/>
    <x v="4"/>
    <x v="1"/>
    <x v="2"/>
    <m/>
  </r>
  <r>
    <n v="882"/>
    <x v="882"/>
    <s v="David"/>
    <s v="Williams"/>
    <x v="2"/>
    <x v="35"/>
    <s v="Active"/>
    <s v="7/20/2021"/>
    <n v="53714.83"/>
    <s v="david.williams@example.com"/>
    <n v="-5539354357"/>
    <x v="1"/>
    <b v="1"/>
    <d v="2021-07-20T00:00:00"/>
    <x v="0"/>
    <x v="2"/>
    <x v="0"/>
    <m/>
  </r>
  <r>
    <n v="883"/>
    <x v="883"/>
    <s v="Charlie"/>
    <s v="Garcia"/>
    <x v="2"/>
    <x v="30"/>
    <s v="Active"/>
    <s v="10/04/2023"/>
    <n v="114587.11"/>
    <s v="charlie.garcia@example.com"/>
    <n v="-6449639242"/>
    <x v="1"/>
    <b v="1"/>
    <d v="2023-10-04T00:00:00"/>
    <x v="1"/>
    <x v="4"/>
    <x v="2"/>
    <m/>
  </r>
  <r>
    <n v="884"/>
    <x v="884"/>
    <s v="Frank"/>
    <s v="Garcia"/>
    <x v="4"/>
    <x v="27"/>
    <s v="Inactive"/>
    <s v="11/15/2021"/>
    <n v="93177.35"/>
    <s v="frank.garcia@example.com"/>
    <n v="-5885379820"/>
    <x v="0"/>
    <b v="0"/>
    <d v="2021-11-15T00:00:00"/>
    <x v="2"/>
    <x v="3"/>
    <x v="2"/>
    <m/>
  </r>
  <r>
    <n v="885"/>
    <x v="885"/>
    <s v="Heidi"/>
    <s v="Jones"/>
    <x v="0"/>
    <x v="11"/>
    <s v="Active"/>
    <s v="01/05/2023"/>
    <n v="62312.13"/>
    <s v="heidi.jones@example.com"/>
    <n v="-4339527535"/>
    <x v="2"/>
    <b v="0"/>
    <d v="2023-01-05T00:00:00"/>
    <x v="3"/>
    <x v="2"/>
    <x v="0"/>
    <m/>
  </r>
  <r>
    <n v="886"/>
    <x v="886"/>
    <s v="Heidi"/>
    <s v="Smith"/>
    <x v="1"/>
    <x v="23"/>
    <s v="Active"/>
    <s v="1/17/2024"/>
    <n v="81137.460000000006"/>
    <s v="heidi.smith@example.com"/>
    <n v="-7497852490"/>
    <x v="1"/>
    <b v="0"/>
    <d v="2024-01-17T00:00:00"/>
    <x v="3"/>
    <x v="1"/>
    <x v="1"/>
    <m/>
  </r>
  <r>
    <n v="887"/>
    <x v="887"/>
    <s v="Grace"/>
    <s v="Miller"/>
    <x v="3"/>
    <x v="35"/>
    <s v="Inactive"/>
    <s v="4/16/2021"/>
    <n v="104528.27"/>
    <s v="grace.miller@example.com"/>
    <n v="-4168601346"/>
    <x v="1"/>
    <b v="0"/>
    <d v="2021-04-16T00:00:00"/>
    <x v="0"/>
    <x v="2"/>
    <x v="1"/>
    <m/>
  </r>
  <r>
    <n v="888"/>
    <x v="888"/>
    <s v="Bob"/>
    <s v="Brown"/>
    <x v="3"/>
    <x v="31"/>
    <s v="Active"/>
    <s v="02/08/2022"/>
    <n v="112395.56"/>
    <s v="bob.brown@example.com"/>
    <n v="-7894896339"/>
    <x v="2"/>
    <b v="0"/>
    <d v="2022-02-08T00:00:00"/>
    <x v="0"/>
    <x v="3"/>
    <x v="1"/>
    <m/>
  </r>
  <r>
    <n v="889"/>
    <x v="889"/>
    <s v="Heidi"/>
    <s v="Smith"/>
    <x v="0"/>
    <x v="30"/>
    <s v="Active"/>
    <s v="06/02/2023"/>
    <n v="81849.36"/>
    <s v="heidi.smith@example.com"/>
    <n v="-6791766511"/>
    <x v="1"/>
    <b v="0"/>
    <d v="2023-06-02T00:00:00"/>
    <x v="1"/>
    <x v="4"/>
    <x v="1"/>
    <m/>
  </r>
  <r>
    <n v="890"/>
    <x v="890"/>
    <s v="Charlie"/>
    <s v="Davis"/>
    <x v="2"/>
    <x v="5"/>
    <s v="Pending"/>
    <s v="01/04/2022"/>
    <n v="118288.91"/>
    <s v="charlie.davis@example.com"/>
    <n v="-2150014187"/>
    <x v="3"/>
    <b v="0"/>
    <d v="2022-01-04T00:00:00"/>
    <x v="0"/>
    <x v="4"/>
    <x v="1"/>
    <m/>
  </r>
  <r>
    <n v="891"/>
    <x v="891"/>
    <s v="Charlie"/>
    <s v="Davis"/>
    <x v="0"/>
    <x v="10"/>
    <s v="Active"/>
    <s v="7/28/2021"/>
    <n v="59555.1"/>
    <s v="charlie.davis@example.com"/>
    <n v="-4216309000"/>
    <x v="2"/>
    <b v="1"/>
    <d v="2021-07-28T00:00:00"/>
    <x v="0"/>
    <x v="5"/>
    <x v="0"/>
    <m/>
  </r>
  <r>
    <n v="892"/>
    <x v="892"/>
    <s v="Heidi"/>
    <s v="Smith"/>
    <x v="2"/>
    <x v="19"/>
    <s v="Active"/>
    <s v="12/20/2024"/>
    <n v="70661.31"/>
    <s v="heidi.smith@example.com"/>
    <n v="-5944633398"/>
    <x v="2"/>
    <b v="1"/>
    <d v="2024-12-20T00:00:00"/>
    <x v="2"/>
    <x v="0"/>
    <x v="1"/>
    <m/>
  </r>
  <r>
    <n v="893"/>
    <x v="893"/>
    <s v="Charlie"/>
    <s v="Jones"/>
    <x v="1"/>
    <x v="17"/>
    <s v="Active"/>
    <s v="4/23/2022"/>
    <n v="109988.16"/>
    <s v="charlie.jones@example.com"/>
    <n v="-9485320894"/>
    <x v="2"/>
    <b v="1"/>
    <d v="2022-04-23T00:00:00"/>
    <x v="4"/>
    <x v="4"/>
    <x v="2"/>
    <m/>
  </r>
  <r>
    <n v="894"/>
    <x v="894"/>
    <s v="David"/>
    <s v="Brown"/>
    <x v="1"/>
    <x v="18"/>
    <s v="Inactive"/>
    <s v="1/30/2020"/>
    <n v="101101.24"/>
    <s v="david.brown@example.com"/>
    <n v="-3263890218"/>
    <x v="3"/>
    <b v="1"/>
    <d v="2020-01-30T00:00:00"/>
    <x v="1"/>
    <x v="3"/>
    <x v="1"/>
    <m/>
  </r>
  <r>
    <n v="895"/>
    <x v="895"/>
    <s v="David"/>
    <s v="Brown"/>
    <x v="3"/>
    <x v="28"/>
    <s v="Pending"/>
    <s v="3/31/2021"/>
    <n v="112427.58"/>
    <s v="david.brown@example.com"/>
    <n v="-9471136336"/>
    <x v="2"/>
    <b v="1"/>
    <d v="2021-03-31T00:00:00"/>
    <x v="5"/>
    <x v="3"/>
    <x v="2"/>
    <m/>
  </r>
  <r>
    <n v="896"/>
    <x v="896"/>
    <s v="Charlie"/>
    <s v="Miller"/>
    <x v="1"/>
    <x v="3"/>
    <s v="Active"/>
    <s v="3/23/2020"/>
    <n v="119389.15"/>
    <s v="charlie.miller@example.com"/>
    <n v="-9223410345"/>
    <x v="3"/>
    <b v="0"/>
    <d v="2020-03-23T00:00:00"/>
    <x v="3"/>
    <x v="3"/>
    <x v="1"/>
    <m/>
  </r>
  <r>
    <n v="897"/>
    <x v="897"/>
    <s v="Alice"/>
    <s v="Brown"/>
    <x v="2"/>
    <x v="9"/>
    <s v="Inactive"/>
    <s v="7/16/2024"/>
    <n v="105861.23"/>
    <s v="alice.brown@example.com"/>
    <n v="-9967331166"/>
    <x v="2"/>
    <b v="1"/>
    <d v="2024-07-16T00:00:00"/>
    <x v="4"/>
    <x v="3"/>
    <x v="2"/>
    <m/>
  </r>
  <r>
    <n v="898"/>
    <x v="898"/>
    <s v="Heidi"/>
    <s v="Davis"/>
    <x v="2"/>
    <x v="16"/>
    <s v="Pending"/>
    <s v="3/22/2024"/>
    <n v="50869.61"/>
    <s v="heidi.davis@example.com"/>
    <n v="-7269608436"/>
    <x v="0"/>
    <b v="1"/>
    <d v="2024-03-22T00:00:00"/>
    <x v="2"/>
    <x v="1"/>
    <x v="1"/>
    <m/>
  </r>
  <r>
    <n v="899"/>
    <x v="899"/>
    <s v="David"/>
    <s v="Williams"/>
    <x v="3"/>
    <x v="21"/>
    <s v="Active"/>
    <s v="8/19/2023"/>
    <n v="85165.05"/>
    <s v="david.williams@example.com"/>
    <n v="-6855078966"/>
    <x v="1"/>
    <b v="1"/>
    <d v="2023-08-19T00:00:00"/>
    <x v="5"/>
    <x v="0"/>
    <x v="2"/>
    <m/>
  </r>
  <r>
    <n v="900"/>
    <x v="900"/>
    <s v="Eva"/>
    <s v="Jones"/>
    <x v="3"/>
    <x v="31"/>
    <s v="Pending"/>
    <s v="03/10/2024"/>
    <n v="90856.21"/>
    <s v="eva.jones@example.com"/>
    <n v="-9352196262"/>
    <x v="0"/>
    <b v="1"/>
    <d v="2024-03-10T00:00:00"/>
    <x v="0"/>
    <x v="3"/>
    <x v="1"/>
    <m/>
  </r>
  <r>
    <n v="901"/>
    <x v="901"/>
    <s v="Heidi"/>
    <s v="Brown"/>
    <x v="3"/>
    <x v="31"/>
    <s v="Active"/>
    <s v="06/05/2024"/>
    <n v="111008.63"/>
    <s v="heidi.brown@example.com"/>
    <n v="-3556434368"/>
    <x v="1"/>
    <b v="1"/>
    <d v="2024-06-05T00:00:00"/>
    <x v="0"/>
    <x v="3"/>
    <x v="1"/>
    <m/>
  </r>
  <r>
    <n v="902"/>
    <x v="902"/>
    <s v="Alice"/>
    <s v="Miller"/>
    <x v="0"/>
    <x v="15"/>
    <s v="Inactive"/>
    <s v="12/23/2022"/>
    <n v="52289.99"/>
    <s v="alice.miller@example.com"/>
    <n v="-7093170694"/>
    <x v="3"/>
    <b v="1"/>
    <d v="2022-12-23T00:00:00"/>
    <x v="1"/>
    <x v="2"/>
    <x v="0"/>
    <m/>
  </r>
  <r>
    <n v="903"/>
    <x v="903"/>
    <s v="Eva"/>
    <s v="Davis"/>
    <x v="1"/>
    <x v="14"/>
    <s v="Active"/>
    <s v="06/01/2024"/>
    <n v="97926.56"/>
    <s v="eva.davis@example.com"/>
    <n v="-5607676163"/>
    <x v="0"/>
    <b v="1"/>
    <d v="2024-06-01T00:00:00"/>
    <x v="4"/>
    <x v="5"/>
    <x v="2"/>
    <m/>
  </r>
  <r>
    <n v="904"/>
    <x v="904"/>
    <s v="Frank"/>
    <s v="Williams"/>
    <x v="0"/>
    <x v="29"/>
    <s v="Inactive"/>
    <s v="12/23/2024"/>
    <n v="53609.38"/>
    <s v="frank.williams@example.com"/>
    <n v="-5345472238"/>
    <x v="2"/>
    <b v="0"/>
    <d v="2024-12-23T00:00:00"/>
    <x v="4"/>
    <x v="2"/>
    <x v="1"/>
    <m/>
  </r>
  <r>
    <n v="905"/>
    <x v="905"/>
    <s v="Heidi"/>
    <s v="Johnson"/>
    <x v="1"/>
    <x v="34"/>
    <s v="Inactive"/>
    <s v="12/24/2020"/>
    <n v="95372.09"/>
    <s v="heidi.johnson@example.com"/>
    <n v="-8983065030"/>
    <x v="1"/>
    <b v="0"/>
    <d v="2020-12-24T00:00:00"/>
    <x v="3"/>
    <x v="0"/>
    <x v="1"/>
    <m/>
  </r>
  <r>
    <n v="906"/>
    <x v="906"/>
    <s v="David"/>
    <s v="Johnson"/>
    <x v="3"/>
    <x v="7"/>
    <s v="Pending"/>
    <s v="8/20/2020"/>
    <n v="95432.69"/>
    <s v="david.johnson@example.com"/>
    <n v="-2198041846"/>
    <x v="1"/>
    <b v="1"/>
    <d v="2020-08-20T00:00:00"/>
    <x v="5"/>
    <x v="4"/>
    <x v="2"/>
    <m/>
  </r>
  <r>
    <n v="907"/>
    <x v="907"/>
    <s v="David"/>
    <s v="Williams"/>
    <x v="3"/>
    <x v="21"/>
    <s v="Inactive"/>
    <s v="10/28/2022"/>
    <n v="97615.87"/>
    <s v="david.williams@example.com"/>
    <n v="-2426423641"/>
    <x v="0"/>
    <b v="0"/>
    <d v="2022-10-28T00:00:00"/>
    <x v="5"/>
    <x v="0"/>
    <x v="2"/>
    <m/>
  </r>
  <r>
    <n v="908"/>
    <x v="908"/>
    <s v="Bob"/>
    <s v="Davis"/>
    <x v="4"/>
    <x v="28"/>
    <s v="Inactive"/>
    <s v="10/23/2022"/>
    <n v="86867.78"/>
    <s v="bob.davis@example.com"/>
    <n v="-8131909247"/>
    <x v="3"/>
    <b v="0"/>
    <d v="2022-10-23T00:00:00"/>
    <x v="5"/>
    <x v="3"/>
    <x v="2"/>
    <m/>
  </r>
  <r>
    <n v="909"/>
    <x v="909"/>
    <s v="Eva"/>
    <s v="Miller"/>
    <x v="2"/>
    <x v="24"/>
    <s v="Pending"/>
    <s v="11/20/2023"/>
    <n v="106615.71"/>
    <s v="eva.miller@example.com"/>
    <n v="-7623039110"/>
    <x v="0"/>
    <b v="0"/>
    <d v="2023-11-20T00:00:00"/>
    <x v="4"/>
    <x v="0"/>
    <x v="2"/>
    <m/>
  </r>
  <r>
    <n v="910"/>
    <x v="910"/>
    <s v="Bob"/>
    <s v="Williams"/>
    <x v="3"/>
    <x v="1"/>
    <s v="Active"/>
    <s v="03/11/2022"/>
    <n v="112856.21"/>
    <s v="bob.williams@example.com"/>
    <n v="-4281785227"/>
    <x v="3"/>
    <b v="0"/>
    <d v="2022-03-11T00:00:00"/>
    <x v="1"/>
    <x v="1"/>
    <x v="2"/>
    <m/>
  </r>
  <r>
    <n v="911"/>
    <x v="911"/>
    <s v="Bob"/>
    <s v="Jones"/>
    <x v="0"/>
    <x v="19"/>
    <s v="Active"/>
    <s v="11/28/2023"/>
    <n v="60356.78"/>
    <s v="bob.jones@example.com"/>
    <n v="-2305248087"/>
    <x v="3"/>
    <b v="1"/>
    <d v="2023-11-28T00:00:00"/>
    <x v="2"/>
    <x v="0"/>
    <x v="1"/>
    <m/>
  </r>
  <r>
    <n v="912"/>
    <x v="912"/>
    <s v="David"/>
    <s v="Jones"/>
    <x v="1"/>
    <x v="32"/>
    <s v="Inactive"/>
    <s v="05/03/2022"/>
    <n v="117870.22"/>
    <s v="david.jones@example.com"/>
    <n v="-622072238"/>
    <x v="1"/>
    <b v="0"/>
    <d v="2022-05-03T00:00:00"/>
    <x v="0"/>
    <x v="1"/>
    <x v="1"/>
    <m/>
  </r>
  <r>
    <n v="913"/>
    <x v="913"/>
    <s v="Charlie"/>
    <s v="Johnson"/>
    <x v="2"/>
    <x v="28"/>
    <s v="Inactive"/>
    <s v="2/19/2024"/>
    <n v="95127.91"/>
    <s v="charlie.johnson@example.com"/>
    <n v="-5947372131"/>
    <x v="0"/>
    <b v="0"/>
    <d v="2024-02-19T00:00:00"/>
    <x v="5"/>
    <x v="3"/>
    <x v="2"/>
    <m/>
  </r>
  <r>
    <n v="914"/>
    <x v="914"/>
    <s v="Bob"/>
    <s v="Brown"/>
    <x v="0"/>
    <x v="12"/>
    <s v="Pending"/>
    <s v="11/18/2021"/>
    <n v="78818.42"/>
    <s v="bob.brown@example.com"/>
    <n v="-9016204786"/>
    <x v="0"/>
    <b v="0"/>
    <d v="2021-11-18T00:00:00"/>
    <x v="2"/>
    <x v="5"/>
    <x v="2"/>
    <m/>
  </r>
  <r>
    <n v="915"/>
    <x v="915"/>
    <s v="Frank"/>
    <s v="Miller"/>
    <x v="2"/>
    <x v="29"/>
    <s v="Pending"/>
    <s v="12/21/2022"/>
    <n v="108933.55"/>
    <s v="frank.miller@example.com"/>
    <n v="-6886878598"/>
    <x v="3"/>
    <b v="1"/>
    <d v="2022-12-21T00:00:00"/>
    <x v="4"/>
    <x v="2"/>
    <x v="2"/>
    <m/>
  </r>
  <r>
    <n v="916"/>
    <x v="916"/>
    <s v="Eva"/>
    <s v="Johnson"/>
    <x v="1"/>
    <x v="19"/>
    <s v="Active"/>
    <s v="06/04/2024"/>
    <n v="68200.52"/>
    <s v="eva.johnson@example.com"/>
    <n v="-6486287202"/>
    <x v="0"/>
    <b v="1"/>
    <d v="2024-06-04T00:00:00"/>
    <x v="2"/>
    <x v="0"/>
    <x v="1"/>
    <m/>
  </r>
  <r>
    <n v="917"/>
    <x v="917"/>
    <s v="Eva"/>
    <s v="Brown"/>
    <x v="0"/>
    <x v="19"/>
    <s v="Inactive"/>
    <s v="7/22/2022"/>
    <n v="116934.97"/>
    <s v="eva.brown@example.com"/>
    <n v="-1954196663"/>
    <x v="2"/>
    <b v="1"/>
    <d v="2022-07-22T00:00:00"/>
    <x v="2"/>
    <x v="0"/>
    <x v="2"/>
    <m/>
  </r>
  <r>
    <n v="918"/>
    <x v="918"/>
    <s v="Charlie"/>
    <s v="Brown"/>
    <x v="1"/>
    <x v="7"/>
    <s v="Active"/>
    <s v="9/14/2024"/>
    <n v="99567.78"/>
    <s v="charlie.brown@example.com"/>
    <n v="-5057303626"/>
    <x v="2"/>
    <b v="1"/>
    <d v="2024-09-14T00:00:00"/>
    <x v="5"/>
    <x v="4"/>
    <x v="2"/>
    <m/>
  </r>
  <r>
    <n v="919"/>
    <x v="919"/>
    <s v="Charlie"/>
    <s v="Garcia"/>
    <x v="3"/>
    <x v="16"/>
    <s v="Active"/>
    <s v="10/10/2021"/>
    <n v="90216.76"/>
    <s v="charlie.garcia@example.com"/>
    <n v="-9246320373"/>
    <x v="0"/>
    <b v="1"/>
    <d v="2021-10-10T00:00:00"/>
    <x v="2"/>
    <x v="1"/>
    <x v="2"/>
    <m/>
  </r>
  <r>
    <n v="920"/>
    <x v="920"/>
    <s v="Frank"/>
    <s v="Jones"/>
    <x v="3"/>
    <x v="12"/>
    <s v="Pending"/>
    <s v="03/12/2020"/>
    <n v="96588.73"/>
    <s v="frank.jones@example.com"/>
    <n v="-7677537259"/>
    <x v="0"/>
    <b v="1"/>
    <d v="2020-03-12T00:00:00"/>
    <x v="2"/>
    <x v="5"/>
    <x v="2"/>
    <m/>
  </r>
  <r>
    <n v="921"/>
    <x v="921"/>
    <s v="Charlie"/>
    <s v="Davis"/>
    <x v="4"/>
    <x v="33"/>
    <s v="Active"/>
    <s v="12/28/2022"/>
    <n v="71109.179999999993"/>
    <s v="charlie.davis@example.com"/>
    <n v="-3214505765"/>
    <x v="3"/>
    <b v="1"/>
    <d v="2022-12-28T00:00:00"/>
    <x v="1"/>
    <x v="5"/>
    <x v="1"/>
    <m/>
  </r>
  <r>
    <n v="922"/>
    <x v="922"/>
    <s v="Grace"/>
    <s v="Smith"/>
    <x v="2"/>
    <x v="27"/>
    <s v="Inactive"/>
    <s v="11/15/2020"/>
    <n v="50300.6"/>
    <s v="grace.smith@example.com"/>
    <n v="-1945887070"/>
    <x v="2"/>
    <b v="0"/>
    <d v="2020-11-15T00:00:00"/>
    <x v="2"/>
    <x v="3"/>
    <x v="1"/>
    <m/>
  </r>
  <r>
    <n v="923"/>
    <x v="923"/>
    <s v="Frank"/>
    <s v="Davis"/>
    <x v="4"/>
    <x v="8"/>
    <s v="Pending"/>
    <s v="9/27/2023"/>
    <n v="60295.839999999997"/>
    <s v="frank.davis@example.com"/>
    <n v="-5534820127"/>
    <x v="2"/>
    <b v="0"/>
    <d v="2023-09-27T00:00:00"/>
    <x v="1"/>
    <x v="0"/>
    <x v="1"/>
    <m/>
  </r>
  <r>
    <n v="924"/>
    <x v="924"/>
    <s v="Heidi"/>
    <s v="Smith"/>
    <x v="4"/>
    <x v="32"/>
    <s v="Pending"/>
    <s v="09/07/2022"/>
    <n v="113012.21"/>
    <s v="heidi.smith@example.com"/>
    <n v="-4008385075"/>
    <x v="1"/>
    <b v="0"/>
    <d v="2022-09-07T00:00:00"/>
    <x v="0"/>
    <x v="1"/>
    <x v="1"/>
    <m/>
  </r>
  <r>
    <n v="925"/>
    <x v="925"/>
    <s v="Bob"/>
    <s v="Williams"/>
    <x v="4"/>
    <x v="3"/>
    <s v="Pending"/>
    <s v="9/18/2024"/>
    <n v="65425.54"/>
    <s v="bob.williams@example.com"/>
    <n v="-5975954507"/>
    <x v="3"/>
    <b v="1"/>
    <d v="2024-09-18T00:00:00"/>
    <x v="3"/>
    <x v="3"/>
    <x v="0"/>
    <m/>
  </r>
  <r>
    <n v="926"/>
    <x v="926"/>
    <s v="Frank"/>
    <s v="Jones"/>
    <x v="0"/>
    <x v="29"/>
    <s v="Active"/>
    <s v="04/09/2023"/>
    <n v="86850.37"/>
    <s v="frank.jones@example.com"/>
    <n v="-9177680897"/>
    <x v="1"/>
    <b v="1"/>
    <d v="2023-04-09T00:00:00"/>
    <x v="4"/>
    <x v="2"/>
    <x v="1"/>
    <m/>
  </r>
  <r>
    <n v="927"/>
    <x v="927"/>
    <s v="Eva"/>
    <s v="Brown"/>
    <x v="3"/>
    <x v="23"/>
    <s v="Pending"/>
    <s v="10/05/2024"/>
    <n v="81182.070000000007"/>
    <s v="eva.brown@example.com"/>
    <n v="-1265742230"/>
    <x v="2"/>
    <b v="1"/>
    <d v="2024-10-05T00:00:00"/>
    <x v="3"/>
    <x v="1"/>
    <x v="1"/>
    <m/>
  </r>
  <r>
    <n v="928"/>
    <x v="928"/>
    <s v="Bob"/>
    <s v="Miller"/>
    <x v="1"/>
    <x v="30"/>
    <s v="Inactive"/>
    <s v="10/12/2021"/>
    <n v="92222.03"/>
    <s v="bob.miller@example.com"/>
    <n v="-9646300401"/>
    <x v="3"/>
    <b v="1"/>
    <d v="2021-10-12T00:00:00"/>
    <x v="1"/>
    <x v="4"/>
    <x v="1"/>
    <m/>
  </r>
  <r>
    <n v="929"/>
    <x v="929"/>
    <s v="Alice"/>
    <s v="Smith"/>
    <x v="4"/>
    <x v="30"/>
    <s v="Pending"/>
    <s v="10/14/2024"/>
    <n v="79934.83"/>
    <s v="alice.smith@example.com"/>
    <n v="-3693626893"/>
    <x v="0"/>
    <b v="1"/>
    <d v="2024-10-14T00:00:00"/>
    <x v="1"/>
    <x v="4"/>
    <x v="1"/>
    <m/>
  </r>
  <r>
    <n v="930"/>
    <x v="930"/>
    <s v="Alice"/>
    <s v="Davis"/>
    <x v="4"/>
    <x v="21"/>
    <s v="Inactive"/>
    <s v="07/01/2022"/>
    <n v="111201.12"/>
    <s v="alice.davis@example.com"/>
    <n v="-3012047136"/>
    <x v="3"/>
    <b v="0"/>
    <d v="2022-07-01T00:00:00"/>
    <x v="5"/>
    <x v="0"/>
    <x v="2"/>
    <m/>
  </r>
  <r>
    <n v="931"/>
    <x v="931"/>
    <s v="Heidi"/>
    <s v="Brown"/>
    <x v="2"/>
    <x v="8"/>
    <s v="Active"/>
    <s v="07/08/2024"/>
    <n v="100960.05"/>
    <s v="heidi.brown@example.com"/>
    <n v="-2711759573"/>
    <x v="0"/>
    <b v="0"/>
    <d v="2024-07-08T00:00:00"/>
    <x v="1"/>
    <x v="0"/>
    <x v="1"/>
    <m/>
  </r>
  <r>
    <n v="932"/>
    <x v="932"/>
    <s v="Grace"/>
    <s v="Smith"/>
    <x v="3"/>
    <x v="14"/>
    <s v="Active"/>
    <s v="10/21/2020"/>
    <n v="64544.87"/>
    <s v="grace.smith@example.com"/>
    <n v="-9885582983"/>
    <x v="0"/>
    <b v="1"/>
    <d v="2020-10-21T00:00:00"/>
    <x v="4"/>
    <x v="5"/>
    <x v="1"/>
    <m/>
  </r>
  <r>
    <n v="933"/>
    <x v="933"/>
    <s v="Frank"/>
    <s v="Smith"/>
    <x v="0"/>
    <x v="9"/>
    <s v="Active"/>
    <s v="1/14/2020"/>
    <n v="78662.240000000005"/>
    <s v="frank.smith@example.com"/>
    <n v="-9330674583"/>
    <x v="3"/>
    <b v="1"/>
    <d v="2020-01-14T00:00:00"/>
    <x v="4"/>
    <x v="3"/>
    <x v="1"/>
    <m/>
  </r>
  <r>
    <n v="934"/>
    <x v="934"/>
    <s v="Grace"/>
    <s v="Garcia"/>
    <x v="3"/>
    <x v="9"/>
    <s v="Pending"/>
    <s v="03/09/2023"/>
    <n v="102867.06"/>
    <s v="grace.garcia@example.com"/>
    <n v="-7609441282"/>
    <x v="0"/>
    <b v="1"/>
    <d v="2023-03-09T00:00:00"/>
    <x v="4"/>
    <x v="3"/>
    <x v="2"/>
    <m/>
  </r>
  <r>
    <n v="935"/>
    <x v="935"/>
    <s v="Charlie"/>
    <s v="Smith"/>
    <x v="2"/>
    <x v="25"/>
    <s v="Inactive"/>
    <s v="3/27/2020"/>
    <n v="107595.95"/>
    <s v="charlie.smith@example.com"/>
    <n v="-3372188565"/>
    <x v="1"/>
    <b v="1"/>
    <d v="2020-03-27T00:00:00"/>
    <x v="5"/>
    <x v="5"/>
    <x v="2"/>
    <m/>
  </r>
  <r>
    <n v="936"/>
    <x v="936"/>
    <s v="Eva"/>
    <s v="Miller"/>
    <x v="2"/>
    <x v="29"/>
    <s v="Inactive"/>
    <s v="04/04/2021"/>
    <n v="85165.05"/>
    <s v="eva.miller@example.com"/>
    <n v="-6954132970"/>
    <x v="2"/>
    <b v="0"/>
    <d v="2021-04-04T00:00:00"/>
    <x v="4"/>
    <x v="2"/>
    <x v="1"/>
    <m/>
  </r>
  <r>
    <n v="937"/>
    <x v="937"/>
    <s v="Eva"/>
    <s v="Jones"/>
    <x v="4"/>
    <x v="35"/>
    <s v="Inactive"/>
    <s v="09/11/2020"/>
    <n v="95766.91"/>
    <s v="eva.jones@example.com"/>
    <n v="-5066626704"/>
    <x v="0"/>
    <b v="1"/>
    <d v="2020-09-11T00:00:00"/>
    <x v="0"/>
    <x v="2"/>
    <x v="1"/>
    <m/>
  </r>
  <r>
    <n v="938"/>
    <x v="938"/>
    <s v="Grace"/>
    <s v="Miller"/>
    <x v="3"/>
    <x v="15"/>
    <s v="Pending"/>
    <s v="5/16/2021"/>
    <n v="51990.98"/>
    <s v="grace.miller@example.com"/>
    <n v="-5143776935"/>
    <x v="1"/>
    <b v="1"/>
    <d v="2021-05-16T00:00:00"/>
    <x v="1"/>
    <x v="2"/>
    <x v="0"/>
    <m/>
  </r>
  <r>
    <n v="939"/>
    <x v="939"/>
    <s v="Heidi"/>
    <s v="Johnson"/>
    <x v="0"/>
    <x v="29"/>
    <s v="Inactive"/>
    <s v="04/05/2023"/>
    <n v="83634.009999999995"/>
    <s v="heidi.johnson@example.com"/>
    <n v="-6343925294"/>
    <x v="0"/>
    <b v="1"/>
    <d v="2023-04-05T00:00:00"/>
    <x v="4"/>
    <x v="2"/>
    <x v="1"/>
    <m/>
  </r>
  <r>
    <n v="940"/>
    <x v="940"/>
    <s v="Eva"/>
    <s v="Brown"/>
    <x v="2"/>
    <x v="32"/>
    <s v="Inactive"/>
    <s v="11/15/2022"/>
    <n v="85165.05"/>
    <s v="eva.brown@example.com"/>
    <n v="-9611110285"/>
    <x v="2"/>
    <b v="1"/>
    <d v="2022-11-15T00:00:00"/>
    <x v="0"/>
    <x v="1"/>
    <x v="1"/>
    <m/>
  </r>
  <r>
    <n v="941"/>
    <x v="941"/>
    <s v="Eva"/>
    <s v="Jones"/>
    <x v="3"/>
    <x v="4"/>
    <s v="Active"/>
    <s v="10/16/2021"/>
    <n v="82273.08"/>
    <s v="eva.jones@example.com"/>
    <n v="-7120072023"/>
    <x v="1"/>
    <b v="0"/>
    <d v="2021-10-16T00:00:00"/>
    <x v="4"/>
    <x v="1"/>
    <x v="1"/>
    <m/>
  </r>
  <r>
    <n v="942"/>
    <x v="942"/>
    <s v="Frank"/>
    <s v="Garcia"/>
    <x v="3"/>
    <x v="34"/>
    <s v="Inactive"/>
    <s v="05/09/2022"/>
    <n v="94537.3"/>
    <s v="frank.garcia@example.com"/>
    <n v="-5591024509"/>
    <x v="2"/>
    <b v="1"/>
    <d v="2022-05-09T00:00:00"/>
    <x v="3"/>
    <x v="0"/>
    <x v="1"/>
    <m/>
  </r>
  <r>
    <n v="943"/>
    <x v="943"/>
    <s v="Alice"/>
    <s v="Jones"/>
    <x v="4"/>
    <x v="25"/>
    <s v="Pending"/>
    <s v="06/06/2020"/>
    <n v="85970.65"/>
    <s v="alice.jones@example.com"/>
    <n v="-9109032670"/>
    <x v="2"/>
    <b v="1"/>
    <d v="2020-06-06T00:00:00"/>
    <x v="5"/>
    <x v="5"/>
    <x v="2"/>
    <m/>
  </r>
  <r>
    <n v="944"/>
    <x v="944"/>
    <s v="Charlie"/>
    <s v="Jones"/>
    <x v="0"/>
    <x v="17"/>
    <s v="Pending"/>
    <s v="10/22/2021"/>
    <n v="111071.02"/>
    <s v="charlie.jones@example.com"/>
    <n v="-4949819420"/>
    <x v="1"/>
    <b v="0"/>
    <d v="2021-10-22T00:00:00"/>
    <x v="4"/>
    <x v="4"/>
    <x v="2"/>
    <m/>
  </r>
  <r>
    <n v="945"/>
    <x v="945"/>
    <s v="Eva"/>
    <s v="Davis"/>
    <x v="4"/>
    <x v="35"/>
    <s v="Pending"/>
    <s v="01/12/2022"/>
    <n v="56708.34"/>
    <s v="eva.davis@example.com"/>
    <n v="-7942817933"/>
    <x v="1"/>
    <b v="0"/>
    <d v="2022-01-12T00:00:00"/>
    <x v="0"/>
    <x v="2"/>
    <x v="0"/>
    <m/>
  </r>
  <r>
    <n v="946"/>
    <x v="946"/>
    <s v="Charlie"/>
    <s v="Jones"/>
    <x v="0"/>
    <x v="12"/>
    <s v="Inactive"/>
    <s v="02/02/2022"/>
    <n v="104516.55"/>
    <s v="charlie.jones@example.com"/>
    <n v="-652775843"/>
    <x v="1"/>
    <b v="0"/>
    <d v="2022-02-02T00:00:00"/>
    <x v="2"/>
    <x v="5"/>
    <x v="2"/>
    <m/>
  </r>
  <r>
    <n v="947"/>
    <x v="947"/>
    <s v="Charlie"/>
    <s v="Garcia"/>
    <x v="0"/>
    <x v="26"/>
    <s v="Pending"/>
    <s v="3/28/2021"/>
    <n v="108210.15"/>
    <s v="charlie.garcia@example.com"/>
    <n v="-6634533721"/>
    <x v="3"/>
    <b v="1"/>
    <d v="2021-03-28T00:00:00"/>
    <x v="2"/>
    <x v="4"/>
    <x v="2"/>
    <m/>
  </r>
  <r>
    <n v="948"/>
    <x v="948"/>
    <s v="Bob"/>
    <s v="Miller"/>
    <x v="2"/>
    <x v="1"/>
    <s v="Active"/>
    <s v="08/03/2024"/>
    <n v="85165.05"/>
    <s v="bob.miller@example.com"/>
    <n v="-109121721"/>
    <x v="1"/>
    <b v="1"/>
    <d v="2024-08-03T00:00:00"/>
    <x v="1"/>
    <x v="1"/>
    <x v="1"/>
    <m/>
  </r>
  <r>
    <n v="949"/>
    <x v="949"/>
    <s v="Frank"/>
    <s v="Jones"/>
    <x v="4"/>
    <x v="0"/>
    <s v="Active"/>
    <s v="7/31/2024"/>
    <n v="80935.649999999994"/>
    <s v="frank.jones@example.com"/>
    <n v="-1455937660"/>
    <x v="1"/>
    <b v="0"/>
    <d v="2024-07-31T00:00:00"/>
    <x v="0"/>
    <x v="0"/>
    <x v="0"/>
    <m/>
  </r>
  <r>
    <n v="950"/>
    <x v="950"/>
    <s v="Frank"/>
    <s v="Williams"/>
    <x v="3"/>
    <x v="0"/>
    <s v="Active"/>
    <s v="03/04/2024"/>
    <n v="107020.19"/>
    <s v="frank.williams@example.com"/>
    <n v="-8943705262"/>
    <x v="1"/>
    <b v="0"/>
    <d v="2024-03-04T00:00:00"/>
    <x v="0"/>
    <x v="0"/>
    <x v="1"/>
    <m/>
  </r>
  <r>
    <n v="951"/>
    <x v="951"/>
    <s v="Charlie"/>
    <s v="Brown"/>
    <x v="3"/>
    <x v="7"/>
    <s v="Active"/>
    <s v="9/23/2020"/>
    <n v="118677.67"/>
    <s v="charlie.brown@example.com"/>
    <n v="-5100462775"/>
    <x v="1"/>
    <b v="0"/>
    <d v="2020-09-23T00:00:00"/>
    <x v="5"/>
    <x v="4"/>
    <x v="2"/>
    <m/>
  </r>
  <r>
    <n v="952"/>
    <x v="952"/>
    <s v="Bob"/>
    <s v="Jones"/>
    <x v="0"/>
    <x v="3"/>
    <s v="Inactive"/>
    <s v="3/28/2020"/>
    <n v="63744.57"/>
    <s v="bob.jones@example.com"/>
    <n v="-5725659201"/>
    <x v="0"/>
    <b v="0"/>
    <d v="2020-03-28T00:00:00"/>
    <x v="3"/>
    <x v="3"/>
    <x v="0"/>
    <m/>
  </r>
  <r>
    <n v="953"/>
    <x v="953"/>
    <s v="Alice"/>
    <s v="Brown"/>
    <x v="2"/>
    <x v="34"/>
    <s v="Active"/>
    <s v="5/15/2020"/>
    <n v="85165.05"/>
    <s v="alice.brown@example.com"/>
    <n v="-4617520237"/>
    <x v="3"/>
    <b v="0"/>
    <d v="2020-05-15T00:00:00"/>
    <x v="3"/>
    <x v="0"/>
    <x v="1"/>
    <m/>
  </r>
  <r>
    <n v="954"/>
    <x v="954"/>
    <s v="Bob"/>
    <s v="Williams"/>
    <x v="0"/>
    <x v="17"/>
    <s v="Pending"/>
    <s v="2/13/2021"/>
    <n v="62934.73"/>
    <s v="bob.williams@example.com"/>
    <n v="-9743260054"/>
    <x v="2"/>
    <b v="0"/>
    <d v="2021-02-13T00:00:00"/>
    <x v="4"/>
    <x v="4"/>
    <x v="1"/>
    <m/>
  </r>
  <r>
    <n v="955"/>
    <x v="955"/>
    <s v="Bob"/>
    <s v="Williams"/>
    <x v="3"/>
    <x v="0"/>
    <s v="Pending"/>
    <s v="12/13/2021"/>
    <n v="74654.23"/>
    <s v="bob.williams@example.com"/>
    <n v="-9550178331"/>
    <x v="1"/>
    <b v="1"/>
    <d v="2021-12-13T00:00:00"/>
    <x v="0"/>
    <x v="0"/>
    <x v="0"/>
    <m/>
  </r>
  <r>
    <n v="956"/>
    <x v="956"/>
    <s v="David"/>
    <s v="Brown"/>
    <x v="1"/>
    <x v="4"/>
    <s v="Active"/>
    <s v="08/05/2024"/>
    <n v="85165.05"/>
    <s v="david.brown@example.com"/>
    <n v="-5848689992"/>
    <x v="0"/>
    <b v="1"/>
    <d v="2024-08-05T00:00:00"/>
    <x v="4"/>
    <x v="1"/>
    <x v="1"/>
    <m/>
  </r>
  <r>
    <n v="957"/>
    <x v="957"/>
    <s v="David"/>
    <s v="Smith"/>
    <x v="3"/>
    <x v="7"/>
    <s v="Pending"/>
    <s v="01/09/2020"/>
    <n v="118150.59"/>
    <s v="david.smith@example.com"/>
    <n v="-6079848703"/>
    <x v="0"/>
    <b v="1"/>
    <d v="2020-01-09T00:00:00"/>
    <x v="5"/>
    <x v="4"/>
    <x v="2"/>
    <m/>
  </r>
  <r>
    <n v="958"/>
    <x v="958"/>
    <s v="David"/>
    <s v="Johnson"/>
    <x v="1"/>
    <x v="31"/>
    <s v="Inactive"/>
    <s v="11/30/2023"/>
    <n v="91256.639999999999"/>
    <s v="david.johnson@example.com"/>
    <n v="-5069176798"/>
    <x v="0"/>
    <b v="0"/>
    <d v="2023-11-30T00:00:00"/>
    <x v="0"/>
    <x v="3"/>
    <x v="1"/>
    <m/>
  </r>
  <r>
    <n v="959"/>
    <x v="959"/>
    <s v="Bob"/>
    <s v="Davis"/>
    <x v="3"/>
    <x v="28"/>
    <s v="Inactive"/>
    <s v="3/14/2021"/>
    <n v="85997.57"/>
    <s v="bob.davis@example.com"/>
    <n v="-3593744038"/>
    <x v="2"/>
    <b v="0"/>
    <d v="2021-03-14T00:00:00"/>
    <x v="5"/>
    <x v="3"/>
    <x v="2"/>
    <m/>
  </r>
  <r>
    <n v="960"/>
    <x v="960"/>
    <s v="Frank"/>
    <s v="Smith"/>
    <x v="0"/>
    <x v="1"/>
    <s v="Pending"/>
    <s v="10/05/2020"/>
    <n v="84707.12"/>
    <s v="frank.smith@example.com"/>
    <n v="-4640830372"/>
    <x v="1"/>
    <b v="0"/>
    <d v="2020-10-05T00:00:00"/>
    <x v="1"/>
    <x v="1"/>
    <x v="1"/>
    <m/>
  </r>
  <r>
    <n v="961"/>
    <x v="961"/>
    <s v="Eva"/>
    <s v="Smith"/>
    <x v="1"/>
    <x v="32"/>
    <s v="Active"/>
    <s v="11/02/2021"/>
    <n v="84559.9"/>
    <s v="eva.smith@example.com"/>
    <n v="-6060148859"/>
    <x v="3"/>
    <b v="0"/>
    <d v="2021-11-02T00:00:00"/>
    <x v="0"/>
    <x v="1"/>
    <x v="0"/>
    <m/>
  </r>
  <r>
    <n v="962"/>
    <x v="962"/>
    <s v="Heidi"/>
    <s v="Miller"/>
    <x v="1"/>
    <x v="0"/>
    <s v="Pending"/>
    <s v="9/18/2024"/>
    <n v="81076.91"/>
    <s v="heidi.miller@example.com"/>
    <n v="-8490793883"/>
    <x v="3"/>
    <b v="0"/>
    <d v="2024-09-18T00:00:00"/>
    <x v="0"/>
    <x v="0"/>
    <x v="0"/>
    <m/>
  </r>
  <r>
    <n v="963"/>
    <x v="963"/>
    <s v="Eva"/>
    <s v="Davis"/>
    <x v="2"/>
    <x v="16"/>
    <s v="Inactive"/>
    <s v="10/22/2023"/>
    <n v="85165.05"/>
    <s v="eva.davis@example.com"/>
    <n v="-1368528305"/>
    <x v="0"/>
    <b v="0"/>
    <d v="2023-10-22T00:00:00"/>
    <x v="2"/>
    <x v="1"/>
    <x v="2"/>
    <m/>
  </r>
  <r>
    <n v="964"/>
    <x v="964"/>
    <s v="Heidi"/>
    <s v="Davis"/>
    <x v="0"/>
    <x v="18"/>
    <s v="Pending"/>
    <s v="09/10/2023"/>
    <n v="97356.31"/>
    <s v="heidi.davis@example.com"/>
    <n v="-1537012423"/>
    <x v="2"/>
    <b v="1"/>
    <d v="2023-09-10T00:00:00"/>
    <x v="1"/>
    <x v="3"/>
    <x v="1"/>
    <m/>
  </r>
  <r>
    <n v="965"/>
    <x v="965"/>
    <s v="Grace"/>
    <s v="Smith"/>
    <x v="2"/>
    <x v="10"/>
    <s v="Active"/>
    <s v="2/27/2024"/>
    <n v="114770.32"/>
    <s v="grace.smith@example.com"/>
    <n v="-4626325143"/>
    <x v="2"/>
    <b v="1"/>
    <d v="2024-02-27T00:00:00"/>
    <x v="0"/>
    <x v="5"/>
    <x v="1"/>
    <m/>
  </r>
  <r>
    <n v="966"/>
    <x v="966"/>
    <s v="Bob"/>
    <s v="Jones"/>
    <x v="4"/>
    <x v="19"/>
    <s v="Active"/>
    <s v="05/03/2023"/>
    <n v="109082.07"/>
    <s v="bob.jones@example.com"/>
    <n v="-8811210313"/>
    <x v="2"/>
    <b v="0"/>
    <d v="2023-05-03T00:00:00"/>
    <x v="2"/>
    <x v="0"/>
    <x v="2"/>
    <m/>
  </r>
  <r>
    <n v="967"/>
    <x v="967"/>
    <s v="David"/>
    <s v="Miller"/>
    <x v="2"/>
    <x v="31"/>
    <s v="Inactive"/>
    <s v="4/15/2024"/>
    <n v="99944.57"/>
    <s v="david.miller@example.com"/>
    <n v="-2175188780"/>
    <x v="3"/>
    <b v="1"/>
    <d v="2024-04-15T00:00:00"/>
    <x v="0"/>
    <x v="3"/>
    <x v="1"/>
    <m/>
  </r>
  <r>
    <n v="968"/>
    <x v="968"/>
    <s v="Eva"/>
    <s v="Miller"/>
    <x v="2"/>
    <x v="28"/>
    <s v="Pending"/>
    <s v="5/20/2023"/>
    <n v="116509.72"/>
    <s v="eva.miller@example.com"/>
    <n v="-7941515262"/>
    <x v="0"/>
    <b v="0"/>
    <d v="2023-05-20T00:00:00"/>
    <x v="5"/>
    <x v="3"/>
    <x v="2"/>
    <m/>
  </r>
  <r>
    <n v="969"/>
    <x v="969"/>
    <s v="Eva"/>
    <s v="Williams"/>
    <x v="3"/>
    <x v="1"/>
    <s v="Active"/>
    <s v="5/28/2021"/>
    <n v="84253.9"/>
    <s v="eva.williams@example.com"/>
    <n v="-8409112251"/>
    <x v="1"/>
    <b v="1"/>
    <d v="2021-05-28T00:00:00"/>
    <x v="1"/>
    <x v="1"/>
    <x v="1"/>
    <m/>
  </r>
  <r>
    <n v="970"/>
    <x v="970"/>
    <s v="Charlie"/>
    <s v="Garcia"/>
    <x v="0"/>
    <x v="11"/>
    <s v="Active"/>
    <s v="8/27/2024"/>
    <n v="54776.01"/>
    <s v="charlie.garcia@example.com"/>
    <n v="-8837505660"/>
    <x v="3"/>
    <b v="0"/>
    <d v="2024-08-27T00:00:00"/>
    <x v="3"/>
    <x v="2"/>
    <x v="0"/>
    <m/>
  </r>
  <r>
    <n v="971"/>
    <x v="971"/>
    <s v="Charlie"/>
    <s v="Davis"/>
    <x v="2"/>
    <x v="29"/>
    <s v="Inactive"/>
    <s v="11/08/2020"/>
    <n v="71192.679999999993"/>
    <s v="charlie.davis@example.com"/>
    <n v="-8632397912"/>
    <x v="0"/>
    <b v="0"/>
    <d v="2020-11-08T00:00:00"/>
    <x v="4"/>
    <x v="2"/>
    <x v="1"/>
    <m/>
  </r>
  <r>
    <n v="972"/>
    <x v="972"/>
    <s v="Bob"/>
    <s v="Smith"/>
    <x v="1"/>
    <x v="18"/>
    <s v="Active"/>
    <s v="8/24/2021"/>
    <n v="96346.53"/>
    <s v="bob.smith@example.com"/>
    <n v="-7876553006"/>
    <x v="0"/>
    <b v="1"/>
    <d v="2021-08-24T00:00:00"/>
    <x v="1"/>
    <x v="3"/>
    <x v="1"/>
    <m/>
  </r>
  <r>
    <n v="973"/>
    <x v="973"/>
    <s v="Eva"/>
    <s v="Williams"/>
    <x v="1"/>
    <x v="25"/>
    <s v="Pending"/>
    <s v="02/06/2020"/>
    <n v="116680.63"/>
    <s v="eva.williams@example.com"/>
    <n v="-3095055604"/>
    <x v="1"/>
    <b v="1"/>
    <d v="2020-02-06T00:00:00"/>
    <x v="5"/>
    <x v="5"/>
    <x v="2"/>
    <m/>
  </r>
  <r>
    <n v="974"/>
    <x v="974"/>
    <s v="Grace"/>
    <s v="Brown"/>
    <x v="0"/>
    <x v="18"/>
    <s v="Inactive"/>
    <s v="10/12/2024"/>
    <n v="76343.56"/>
    <s v="grace.brown@example.com"/>
    <n v="-7121988191"/>
    <x v="1"/>
    <b v="0"/>
    <d v="2024-10-12T00:00:00"/>
    <x v="1"/>
    <x v="3"/>
    <x v="1"/>
    <m/>
  </r>
  <r>
    <n v="975"/>
    <x v="975"/>
    <s v="Alice"/>
    <s v="Johnson"/>
    <x v="3"/>
    <x v="29"/>
    <s v="Inactive"/>
    <s v="12/16/2024"/>
    <n v="99424.14"/>
    <s v="alice.johnson@example.com"/>
    <n v="-7788519052"/>
    <x v="1"/>
    <b v="0"/>
    <d v="2024-12-16T00:00:00"/>
    <x v="4"/>
    <x v="2"/>
    <x v="2"/>
    <m/>
  </r>
  <r>
    <n v="976"/>
    <x v="976"/>
    <s v="Charlie"/>
    <s v="Garcia"/>
    <x v="4"/>
    <x v="31"/>
    <s v="Inactive"/>
    <s v="4/13/2024"/>
    <n v="57656.74"/>
    <s v="charlie.garcia@example.com"/>
    <n v="-4864010423"/>
    <x v="2"/>
    <b v="1"/>
    <d v="2024-04-13T00:00:00"/>
    <x v="0"/>
    <x v="3"/>
    <x v="0"/>
    <m/>
  </r>
  <r>
    <n v="977"/>
    <x v="977"/>
    <s v="Heidi"/>
    <s v="Garcia"/>
    <x v="2"/>
    <x v="17"/>
    <s v="Pending"/>
    <s v="4/24/2020"/>
    <n v="77396.94"/>
    <s v="heidi.garcia@example.com"/>
    <n v="-6245618516"/>
    <x v="1"/>
    <b v="1"/>
    <d v="2020-04-24T00:00:00"/>
    <x v="4"/>
    <x v="4"/>
    <x v="1"/>
    <m/>
  </r>
  <r>
    <n v="978"/>
    <x v="978"/>
    <s v="Grace"/>
    <s v="Garcia"/>
    <x v="1"/>
    <x v="0"/>
    <s v="Inactive"/>
    <s v="10/18/2021"/>
    <n v="54299.68"/>
    <s v="grace.garcia@example.com"/>
    <n v="-4460045211"/>
    <x v="0"/>
    <b v="0"/>
    <d v="2021-10-18T00:00:00"/>
    <x v="0"/>
    <x v="0"/>
    <x v="0"/>
    <m/>
  </r>
  <r>
    <n v="979"/>
    <x v="979"/>
    <s v="Charlie"/>
    <s v="Miller"/>
    <x v="4"/>
    <x v="22"/>
    <s v="Pending"/>
    <s v="2/25/2020"/>
    <n v="103563.58"/>
    <s v="charlie.miller@example.com"/>
    <n v="-8991511454"/>
    <x v="1"/>
    <b v="1"/>
    <d v="2020-02-25T00:00:00"/>
    <x v="5"/>
    <x v="2"/>
    <x v="2"/>
    <m/>
  </r>
  <r>
    <n v="980"/>
    <x v="980"/>
    <s v="Grace"/>
    <s v="Brown"/>
    <x v="0"/>
    <x v="8"/>
    <s v="Inactive"/>
    <s v="4/23/2022"/>
    <n v="74588.850000000006"/>
    <s v="grace.brown@example.com"/>
    <n v="-1293913043"/>
    <x v="0"/>
    <b v="0"/>
    <d v="2022-04-23T00:00:00"/>
    <x v="1"/>
    <x v="0"/>
    <x v="1"/>
    <m/>
  </r>
  <r>
    <n v="981"/>
    <x v="981"/>
    <s v="David"/>
    <s v="Garcia"/>
    <x v="3"/>
    <x v="0"/>
    <s v="Pending"/>
    <s v="6/22/2020"/>
    <n v="113727.23"/>
    <s v="david.garcia@example.com"/>
    <n v="-8818984840"/>
    <x v="3"/>
    <b v="0"/>
    <d v="2020-06-22T00:00:00"/>
    <x v="0"/>
    <x v="0"/>
    <x v="1"/>
    <m/>
  </r>
  <r>
    <n v="982"/>
    <x v="982"/>
    <s v="Eva"/>
    <s v="Brown"/>
    <x v="0"/>
    <x v="7"/>
    <s v="Active"/>
    <s v="01/07/2023"/>
    <n v="72828.179999999993"/>
    <s v="eva.brown@example.com"/>
    <n v="-6046154020"/>
    <x v="2"/>
    <b v="0"/>
    <d v="2023-01-07T00:00:00"/>
    <x v="5"/>
    <x v="4"/>
    <x v="1"/>
    <m/>
  </r>
  <r>
    <n v="983"/>
    <x v="983"/>
    <s v="Grace"/>
    <s v="Jones"/>
    <x v="1"/>
    <x v="9"/>
    <s v="Inactive"/>
    <s v="02/11/2020"/>
    <n v="98717.09"/>
    <s v="grace.jones@example.com"/>
    <n v="-1901707567"/>
    <x v="3"/>
    <b v="0"/>
    <d v="2020-02-11T00:00:00"/>
    <x v="4"/>
    <x v="3"/>
    <x v="2"/>
    <m/>
  </r>
  <r>
    <n v="984"/>
    <x v="984"/>
    <s v="Frank"/>
    <s v="Garcia"/>
    <x v="2"/>
    <x v="9"/>
    <s v="Inactive"/>
    <s v="3/18/2023"/>
    <n v="56840.800000000003"/>
    <s v="frank.garcia@example.com"/>
    <n v="-1429831521"/>
    <x v="3"/>
    <b v="1"/>
    <d v="2023-03-18T00:00:00"/>
    <x v="4"/>
    <x v="3"/>
    <x v="1"/>
    <m/>
  </r>
  <r>
    <n v="985"/>
    <x v="985"/>
    <s v="David"/>
    <s v="Johnson"/>
    <x v="4"/>
    <x v="33"/>
    <s v="Pending"/>
    <s v="11/26/2021"/>
    <n v="61663.91"/>
    <s v="david.johnson@example.com"/>
    <n v="-9107322835"/>
    <x v="0"/>
    <b v="1"/>
    <d v="2021-11-26T00:00:00"/>
    <x v="1"/>
    <x v="5"/>
    <x v="1"/>
    <m/>
  </r>
  <r>
    <n v="986"/>
    <x v="986"/>
    <s v="Grace"/>
    <s v="Brown"/>
    <x v="3"/>
    <x v="15"/>
    <s v="Active"/>
    <s v="9/17/2024"/>
    <n v="109523.4"/>
    <s v="grace.brown@example.com"/>
    <n v="-849378305"/>
    <x v="3"/>
    <b v="1"/>
    <d v="2024-09-17T00:00:00"/>
    <x v="1"/>
    <x v="2"/>
    <x v="2"/>
    <m/>
  </r>
  <r>
    <n v="987"/>
    <x v="987"/>
    <s v="Eva"/>
    <s v="Brown"/>
    <x v="0"/>
    <x v="25"/>
    <s v="Inactive"/>
    <s v="07/05/2024"/>
    <n v="65812.02"/>
    <s v="eva.brown@example.com"/>
    <n v="-3963845268"/>
    <x v="0"/>
    <b v="1"/>
    <d v="2024-07-05T00:00:00"/>
    <x v="5"/>
    <x v="5"/>
    <x v="1"/>
    <m/>
  </r>
  <r>
    <n v="988"/>
    <x v="988"/>
    <s v="Bob"/>
    <s v="Johnson"/>
    <x v="1"/>
    <x v="13"/>
    <s v="Inactive"/>
    <s v="7/13/2021"/>
    <n v="54708.88"/>
    <s v="bob.johnson@example.com"/>
    <n v="-6944391648"/>
    <x v="1"/>
    <b v="1"/>
    <d v="2021-07-13T00:00:00"/>
    <x v="3"/>
    <x v="5"/>
    <x v="0"/>
    <m/>
  </r>
  <r>
    <n v="989"/>
    <x v="989"/>
    <s v="Heidi"/>
    <s v="Garcia"/>
    <x v="2"/>
    <x v="19"/>
    <s v="Active"/>
    <s v="8/27/2023"/>
    <n v="107661.73"/>
    <s v="heidi.garcia@example.com"/>
    <n v="-7016934291"/>
    <x v="1"/>
    <b v="1"/>
    <d v="2023-08-27T00:00:00"/>
    <x v="2"/>
    <x v="0"/>
    <x v="2"/>
    <m/>
  </r>
  <r>
    <n v="990"/>
    <x v="990"/>
    <s v="Eva"/>
    <s v="Johnson"/>
    <x v="2"/>
    <x v="10"/>
    <s v="Inactive"/>
    <s v="2/13/2021"/>
    <n v="79002"/>
    <s v="eva.johnson@example.com"/>
    <n v="-9132033015"/>
    <x v="0"/>
    <b v="1"/>
    <d v="2021-02-13T00:00:00"/>
    <x v="0"/>
    <x v="5"/>
    <x v="0"/>
    <m/>
  </r>
  <r>
    <n v="991"/>
    <x v="991"/>
    <s v="Heidi"/>
    <s v="Brown"/>
    <x v="1"/>
    <x v="16"/>
    <s v="Pending"/>
    <s v="12/11/2023"/>
    <n v="86135.69"/>
    <s v="heidi.brown@example.com"/>
    <n v="-2341903105"/>
    <x v="1"/>
    <b v="0"/>
    <d v="2023-12-11T00:00:00"/>
    <x v="2"/>
    <x v="1"/>
    <x v="2"/>
    <m/>
  </r>
  <r>
    <n v="992"/>
    <x v="992"/>
    <s v="Heidi"/>
    <s v="Johnson"/>
    <x v="3"/>
    <x v="35"/>
    <s v="Inactive"/>
    <s v="07/02/2021"/>
    <n v="115601.4"/>
    <s v="heidi.johnson@example.com"/>
    <n v="-1537221555"/>
    <x v="2"/>
    <b v="1"/>
    <d v="2021-07-02T00:00:00"/>
    <x v="0"/>
    <x v="2"/>
    <x v="1"/>
    <m/>
  </r>
  <r>
    <n v="993"/>
    <x v="993"/>
    <s v="Grace"/>
    <s v="Brown"/>
    <x v="1"/>
    <x v="35"/>
    <s v="Active"/>
    <s v="12/05/2022"/>
    <n v="64045.36"/>
    <s v="grace.brown@example.com"/>
    <n v="-6847323652"/>
    <x v="3"/>
    <b v="1"/>
    <d v="2022-12-05T00:00:00"/>
    <x v="0"/>
    <x v="2"/>
    <x v="0"/>
    <m/>
  </r>
  <r>
    <n v="994"/>
    <x v="994"/>
    <s v="David"/>
    <s v="Brown"/>
    <x v="3"/>
    <x v="35"/>
    <s v="Inactive"/>
    <s v="9/24/2024"/>
    <n v="80477.210000000006"/>
    <s v="david.brown@example.com"/>
    <n v="-3774604066"/>
    <x v="2"/>
    <b v="0"/>
    <d v="2024-09-24T00:00:00"/>
    <x v="0"/>
    <x v="2"/>
    <x v="0"/>
    <m/>
  </r>
  <r>
    <n v="995"/>
    <x v="995"/>
    <s v="Bob"/>
    <s v="Jones"/>
    <x v="3"/>
    <x v="8"/>
    <s v="Inactive"/>
    <s v="8/16/2023"/>
    <n v="61240.9"/>
    <s v="bob.jones@example.com"/>
    <n v="-2007843613"/>
    <x v="3"/>
    <b v="1"/>
    <d v="2023-08-16T00:00:00"/>
    <x v="1"/>
    <x v="0"/>
    <x v="1"/>
    <m/>
  </r>
  <r>
    <n v="996"/>
    <x v="996"/>
    <s v="David"/>
    <s v="Smith"/>
    <x v="2"/>
    <x v="16"/>
    <s v="Active"/>
    <s v="1/28/2021"/>
    <n v="51939.29"/>
    <s v="david.smith@example.com"/>
    <n v="-2442607818"/>
    <x v="1"/>
    <b v="1"/>
    <d v="2021-01-28T00:00:00"/>
    <x v="2"/>
    <x v="1"/>
    <x v="1"/>
    <m/>
  </r>
  <r>
    <n v="997"/>
    <x v="997"/>
    <s v="Eva"/>
    <s v="Brown"/>
    <x v="2"/>
    <x v="33"/>
    <s v="Inactive"/>
    <s v="5/14/2022"/>
    <n v="95284.54"/>
    <s v="eva.brown@example.com"/>
    <n v="-7543734763"/>
    <x v="2"/>
    <b v="0"/>
    <d v="2022-05-14T00:00:00"/>
    <x v="1"/>
    <x v="5"/>
    <x v="1"/>
    <m/>
  </r>
  <r>
    <n v="998"/>
    <x v="998"/>
    <s v="Charlie"/>
    <s v="Garcia"/>
    <x v="4"/>
    <x v="16"/>
    <s v="Inactive"/>
    <s v="06/05/2024"/>
    <n v="106247.67"/>
    <s v="charlie.garcia@example.com"/>
    <n v="-2737203762"/>
    <x v="1"/>
    <b v="1"/>
    <d v="2024-06-05T00:00:00"/>
    <x v="2"/>
    <x v="1"/>
    <x v="2"/>
    <m/>
  </r>
  <r>
    <n v="999"/>
    <x v="999"/>
    <s v="Charlie"/>
    <s v="Williams"/>
    <x v="0"/>
    <x v="31"/>
    <s v="Active"/>
    <s v="4/23/2020"/>
    <n v="110170.88"/>
    <s v="charlie.williams@example.com"/>
    <n v="-8821458413"/>
    <x v="3"/>
    <b v="1"/>
    <d v="2020-04-23T00:00:00"/>
    <x v="0"/>
    <x v="3"/>
    <x v="1"/>
    <m/>
  </r>
  <r>
    <n v="1000"/>
    <x v="1000"/>
    <s v="Charlie"/>
    <s v="Miller"/>
    <x v="0"/>
    <x v="22"/>
    <s v="Pending"/>
    <s v="06/10/2024"/>
    <n v="52615.44"/>
    <s v="charlie.miller@example.com"/>
    <n v="-8460191343"/>
    <x v="0"/>
    <b v="1"/>
    <d v="2024-06-10T00:00:00"/>
    <x v="5"/>
    <x v="2"/>
    <x v="1"/>
    <m/>
  </r>
  <r>
    <n v="1001"/>
    <x v="1001"/>
    <s v="Eva"/>
    <s v="Davis"/>
    <x v="3"/>
    <x v="10"/>
    <s v="Inactive"/>
    <s v="4/18/2020"/>
    <n v="82547.259999999995"/>
    <s v="eva.davis@example.com"/>
    <n v="-3899827801"/>
    <x v="0"/>
    <b v="0"/>
    <d v="2020-04-18T00:00:00"/>
    <x v="0"/>
    <x v="5"/>
    <x v="0"/>
    <m/>
  </r>
  <r>
    <n v="1002"/>
    <x v="1002"/>
    <s v="Bob"/>
    <s v="Smith"/>
    <x v="4"/>
    <x v="33"/>
    <s v="Pending"/>
    <s v="6/29/2020"/>
    <n v="63049.22"/>
    <s v="bob.smith@example.com"/>
    <n v="-586950731"/>
    <x v="2"/>
    <b v="1"/>
    <d v="2020-06-29T00:00:00"/>
    <x v="1"/>
    <x v="5"/>
    <x v="1"/>
    <m/>
  </r>
  <r>
    <n v="1003"/>
    <x v="1003"/>
    <s v="Frank"/>
    <s v="Smith"/>
    <x v="4"/>
    <x v="21"/>
    <s v="Pending"/>
    <s v="2/15/2023"/>
    <n v="115229.12"/>
    <s v="frank.smith@example.com"/>
    <n v="-1464493698"/>
    <x v="1"/>
    <b v="1"/>
    <d v="2023-02-15T00:00:00"/>
    <x v="5"/>
    <x v="0"/>
    <x v="2"/>
    <m/>
  </r>
  <r>
    <n v="1004"/>
    <x v="1004"/>
    <s v="Grace"/>
    <s v="Smith"/>
    <x v="0"/>
    <x v="10"/>
    <s v="Pending"/>
    <s v="6/15/2023"/>
    <n v="60687.63"/>
    <s v="grace.smith@example.com"/>
    <n v="-9516793349"/>
    <x v="1"/>
    <b v="0"/>
    <d v="2023-06-15T00:00:00"/>
    <x v="0"/>
    <x v="5"/>
    <x v="0"/>
    <m/>
  </r>
  <r>
    <n v="1005"/>
    <x v="1005"/>
    <s v="Frank"/>
    <s v="Jones"/>
    <x v="3"/>
    <x v="33"/>
    <s v="Inactive"/>
    <s v="3/19/2022"/>
    <n v="67492.73"/>
    <s v="frank.jones@example.com"/>
    <n v="-5573857367"/>
    <x v="2"/>
    <b v="1"/>
    <d v="2022-03-19T00:00:00"/>
    <x v="1"/>
    <x v="5"/>
    <x v="1"/>
    <m/>
  </r>
  <r>
    <n v="1006"/>
    <x v="1006"/>
    <s v="Grace"/>
    <s v="Brown"/>
    <x v="1"/>
    <x v="25"/>
    <s v="Inactive"/>
    <s v="10/25/2023"/>
    <n v="77821.789999999994"/>
    <s v="grace.brown@example.com"/>
    <n v="-119236036"/>
    <x v="0"/>
    <b v="0"/>
    <d v="2023-10-25T00:00:00"/>
    <x v="5"/>
    <x v="5"/>
    <x v="1"/>
    <m/>
  </r>
  <r>
    <n v="1007"/>
    <x v="1007"/>
    <s v="Charlie"/>
    <s v="Jones"/>
    <x v="4"/>
    <x v="32"/>
    <s v="Active"/>
    <s v="7/14/2022"/>
    <n v="69146.95"/>
    <s v="charlie.jones@example.com"/>
    <n v="-6811872332"/>
    <x v="3"/>
    <b v="0"/>
    <d v="2022-07-14T00:00:00"/>
    <x v="0"/>
    <x v="1"/>
    <x v="0"/>
    <m/>
  </r>
  <r>
    <n v="1008"/>
    <x v="1008"/>
    <s v="Grace"/>
    <s v="Brown"/>
    <x v="4"/>
    <x v="2"/>
    <s v="Inactive"/>
    <s v="03/12/2022"/>
    <n v="90224.82"/>
    <s v="grace.brown@example.com"/>
    <n v="-5104096148"/>
    <x v="2"/>
    <b v="1"/>
    <d v="2022-03-12T00:00:00"/>
    <x v="2"/>
    <x v="2"/>
    <x v="2"/>
    <m/>
  </r>
  <r>
    <n v="1009"/>
    <x v="1009"/>
    <s v="David"/>
    <s v="Garcia"/>
    <x v="1"/>
    <x v="33"/>
    <s v="Pending"/>
    <s v="06/11/2024"/>
    <n v="62603.98"/>
    <s v="david.garcia@example.com"/>
    <n v="-7315391148"/>
    <x v="3"/>
    <b v="0"/>
    <d v="2024-06-11T00:00:00"/>
    <x v="1"/>
    <x v="5"/>
    <x v="1"/>
    <m/>
  </r>
  <r>
    <n v="1010"/>
    <x v="1010"/>
    <s v="Bob"/>
    <s v="Jones"/>
    <x v="4"/>
    <x v="29"/>
    <s v="Active"/>
    <s v="06/10/2024"/>
    <n v="71148.27"/>
    <s v="bob.jones@example.com"/>
    <n v="-8307482072"/>
    <x v="0"/>
    <b v="0"/>
    <d v="2024-06-10T00:00:00"/>
    <x v="4"/>
    <x v="2"/>
    <x v="1"/>
    <m/>
  </r>
  <r>
    <n v="1011"/>
    <x v="1011"/>
    <s v="David"/>
    <s v="Jones"/>
    <x v="2"/>
    <x v="19"/>
    <s v="Inactive"/>
    <s v="9/21/2022"/>
    <n v="52031.74"/>
    <s v="david.jones@example.com"/>
    <n v="-6511893939"/>
    <x v="1"/>
    <b v="1"/>
    <d v="2022-09-21T00:00:00"/>
    <x v="2"/>
    <x v="0"/>
    <x v="1"/>
    <m/>
  </r>
  <r>
    <n v="1012"/>
    <x v="1012"/>
    <s v="Grace"/>
    <s v="Miller"/>
    <x v="4"/>
    <x v="31"/>
    <s v="Inactive"/>
    <s v="4/15/2023"/>
    <n v="85165.05"/>
    <s v="grace.miller@example.com"/>
    <n v="-6557820189"/>
    <x v="0"/>
    <b v="0"/>
    <d v="2023-04-15T00:00:00"/>
    <x v="0"/>
    <x v="3"/>
    <x v="1"/>
    <m/>
  </r>
  <r>
    <n v="1013"/>
    <x v="1013"/>
    <s v="Eva"/>
    <s v="Williams"/>
    <x v="1"/>
    <x v="25"/>
    <s v="Pending"/>
    <s v="02/06/2020"/>
    <n v="116680.63"/>
    <s v="eva.williams@example.com"/>
    <n v="-4322302332"/>
    <x v="2"/>
    <b v="0"/>
    <d v="2020-02-06T00:00:00"/>
    <x v="5"/>
    <x v="5"/>
    <x v="2"/>
    <m/>
  </r>
  <r>
    <n v="1014"/>
    <x v="1014"/>
    <s v="Grace"/>
    <s v="Jones"/>
    <x v="3"/>
    <x v="15"/>
    <s v="Pending"/>
    <s v="5/16/2021"/>
    <n v="51990.98"/>
    <s v="grace.jones@example.com"/>
    <n v="-2470739200"/>
    <x v="1"/>
    <b v="1"/>
    <d v="2021-05-16T00:00:00"/>
    <x v="1"/>
    <x v="2"/>
    <x v="0"/>
    <m/>
  </r>
  <r>
    <n v="1015"/>
    <x v="1015"/>
    <s v="David"/>
    <s v="Miller"/>
    <x v="3"/>
    <x v="21"/>
    <s v="Active"/>
    <s v="8/19/2023"/>
    <n v="85165.05"/>
    <s v="david.miller@example.com"/>
    <n v="-3546212759"/>
    <x v="2"/>
    <b v="1"/>
    <d v="2023-08-19T00:00:00"/>
    <x v="5"/>
    <x v="0"/>
    <x v="2"/>
    <m/>
  </r>
  <r>
    <n v="1016"/>
    <x v="1016"/>
    <s v="David"/>
    <s v="Johnson"/>
    <x v="3"/>
    <x v="23"/>
    <s v="Inactive"/>
    <s v="11/07/2021"/>
    <n v="100215.06"/>
    <s v="david.johnson@example.com"/>
    <n v="-2508261122"/>
    <x v="2"/>
    <b v="1"/>
    <d v="2021-11-07T00:00:00"/>
    <x v="3"/>
    <x v="1"/>
    <x v="1"/>
    <m/>
  </r>
  <r>
    <n v="1017"/>
    <x v="1017"/>
    <s v="Charlie"/>
    <s v="Williams"/>
    <x v="2"/>
    <x v="30"/>
    <s v="Active"/>
    <s v="10/04/2023"/>
    <n v="114587.11"/>
    <s v="charlie.williams@example.com"/>
    <n v="-1261632487"/>
    <x v="0"/>
    <b v="0"/>
    <d v="2023-10-04T00:00:00"/>
    <x v="1"/>
    <x v="4"/>
    <x v="2"/>
    <m/>
  </r>
  <r>
    <n v="1018"/>
    <x v="1018"/>
    <s v="Alice"/>
    <s v="Garcia"/>
    <x v="3"/>
    <x v="28"/>
    <s v="Inactive"/>
    <s v="12/16/2024"/>
    <n v="71318.789999999994"/>
    <s v="alice.garcia@example.com"/>
    <n v="-8995729892"/>
    <x v="2"/>
    <b v="1"/>
    <d v="2024-12-16T00:00:00"/>
    <x v="5"/>
    <x v="3"/>
    <x v="1"/>
    <m/>
  </r>
  <r>
    <n v="1019"/>
    <x v="1019"/>
    <s v="Heidi"/>
    <s v="Jones"/>
    <x v="3"/>
    <x v="10"/>
    <s v="Pending"/>
    <s v="2/22/2021"/>
    <n v="77764.240000000005"/>
    <s v="heidi.jones@example.com"/>
    <n v="-7629745492"/>
    <x v="0"/>
    <b v="0"/>
    <d v="2021-02-22T00:00:00"/>
    <x v="0"/>
    <x v="5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9385A-621A-5748-B36E-41024D686F42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P19:T27" firstHeaderRow="1" firstDataRow="2" firstDataCol="1"/>
  <pivotFields count="18">
    <pivotField showAll="0"/>
    <pivotField dataField="1" showAll="0"/>
    <pivotField showAll="0"/>
    <pivotField showAll="0"/>
    <pivotField showAll="0"/>
    <pivotField showAll="0">
      <items count="37">
        <item x="19"/>
        <item x="27"/>
        <item x="12"/>
        <item x="2"/>
        <item x="26"/>
        <item x="16"/>
        <item x="34"/>
        <item x="3"/>
        <item x="13"/>
        <item x="11"/>
        <item x="6"/>
        <item x="23"/>
        <item x="0"/>
        <item x="31"/>
        <item x="10"/>
        <item x="35"/>
        <item x="5"/>
        <item x="32"/>
        <item x="8"/>
        <item x="18"/>
        <item x="33"/>
        <item x="15"/>
        <item x="30"/>
        <item x="1"/>
        <item x="21"/>
        <item x="28"/>
        <item x="25"/>
        <item x="22"/>
        <item x="7"/>
        <item x="20"/>
        <item x="24"/>
        <item x="9"/>
        <item x="14"/>
        <item x="29"/>
        <item x="17"/>
        <item x="4"/>
        <item t="default"/>
      </items>
    </pivotField>
    <pivotField showAll="0"/>
    <pivotField showAll="0"/>
    <pivotField numFmtId="4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73" showAll="0"/>
    <pivotField axis="axisRow"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showAll="0">
      <items count="7">
        <item x="0"/>
        <item x="3"/>
        <item x="5"/>
        <item x="2"/>
        <item x="4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Employee_ID" fld="1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9252A-C236-4049-B6B8-86B797C6F819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17:K24" firstHeaderRow="1" firstDataRow="1" firstDataCol="1"/>
  <pivotFields count="18">
    <pivotField showAll="0"/>
    <pivotField showAll="0"/>
    <pivotField showAll="0"/>
    <pivotField showAll="0"/>
    <pivotField showAll="0"/>
    <pivotField showAll="0">
      <items count="37">
        <item x="19"/>
        <item x="27"/>
        <item x="12"/>
        <item x="2"/>
        <item x="26"/>
        <item x="16"/>
        <item x="34"/>
        <item x="3"/>
        <item x="13"/>
        <item x="11"/>
        <item x="6"/>
        <item x="23"/>
        <item x="0"/>
        <item x="31"/>
        <item x="10"/>
        <item x="35"/>
        <item x="5"/>
        <item x="32"/>
        <item x="8"/>
        <item x="18"/>
        <item x="33"/>
        <item x="15"/>
        <item x="30"/>
        <item x="1"/>
        <item x="21"/>
        <item x="28"/>
        <item x="25"/>
        <item x="22"/>
        <item x="7"/>
        <item x="20"/>
        <item x="24"/>
        <item x="9"/>
        <item x="14"/>
        <item x="29"/>
        <item x="17"/>
        <item x="4"/>
        <item t="default"/>
      </items>
    </pivotField>
    <pivotField showAll="0"/>
    <pivotField showAll="0"/>
    <pivotField dataField="1" numFmtId="4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73" showAll="0"/>
    <pivotField axis="axisRow"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showAll="0">
      <items count="7">
        <item x="0"/>
        <item x="3"/>
        <item x="5"/>
        <item x="2"/>
        <item x="4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8" subtotal="average" baseField="0" baseItem="0" numFmtId="4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07361-7909-D742-A3FB-2EC027428D13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3:C30" firstHeaderRow="1" firstDataRow="1" firstDataCol="1"/>
  <pivotFields count="18">
    <pivotField showAll="0"/>
    <pivotField dataField="1" showAll="0"/>
    <pivotField showAll="0"/>
    <pivotField showAll="0"/>
    <pivotField showAll="0">
      <items count="6">
        <item x="0"/>
        <item x="3"/>
        <item x="1"/>
        <item x="4"/>
        <item x="2"/>
        <item t="default"/>
      </items>
    </pivotField>
    <pivotField showAll="0">
      <items count="37">
        <item x="19"/>
        <item x="27"/>
        <item x="12"/>
        <item x="2"/>
        <item x="26"/>
        <item x="16"/>
        <item x="34"/>
        <item x="3"/>
        <item x="13"/>
        <item x="11"/>
        <item x="6"/>
        <item x="23"/>
        <item x="0"/>
        <item x="31"/>
        <item x="10"/>
        <item x="35"/>
        <item x="5"/>
        <item x="32"/>
        <item x="8"/>
        <item x="18"/>
        <item x="33"/>
        <item x="15"/>
        <item x="30"/>
        <item x="1"/>
        <item x="21"/>
        <item x="28"/>
        <item x="25"/>
        <item x="22"/>
        <item x="7"/>
        <item x="20"/>
        <item x="24"/>
        <item x="9"/>
        <item x="14"/>
        <item x="29"/>
        <item x="17"/>
        <item x="4"/>
        <item t="default"/>
      </items>
    </pivotField>
    <pivotField showAll="0"/>
    <pivotField showAll="0"/>
    <pivotField numFmtId="4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73" showAll="0"/>
    <pivotField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axis="axisRow" showAll="0">
      <items count="7">
        <item x="0"/>
        <item x="3"/>
        <item x="5"/>
        <item x="2"/>
        <item x="4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AF763-5156-F740-9BD5-9402AFA60F8B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4:C20" firstHeaderRow="1" firstDataRow="1" firstDataCol="1"/>
  <pivotFields count="18">
    <pivotField showAll="0"/>
    <pivotField showAll="0"/>
    <pivotField showAll="0"/>
    <pivotField showAll="0"/>
    <pivotField axis="axisRow" dataField="1" showAll="0">
      <items count="6">
        <item x="0"/>
        <item x="3"/>
        <item x="1"/>
        <item x="4"/>
        <item x="2"/>
        <item t="default"/>
      </items>
    </pivotField>
    <pivotField showAll="0">
      <items count="37">
        <item x="19"/>
        <item x="27"/>
        <item x="12"/>
        <item x="2"/>
        <item x="26"/>
        <item x="16"/>
        <item x="34"/>
        <item x="3"/>
        <item x="13"/>
        <item x="11"/>
        <item x="6"/>
        <item x="23"/>
        <item x="0"/>
        <item x="31"/>
        <item x="10"/>
        <item x="35"/>
        <item x="5"/>
        <item x="32"/>
        <item x="8"/>
        <item x="18"/>
        <item x="33"/>
        <item x="15"/>
        <item x="30"/>
        <item x="1"/>
        <item x="21"/>
        <item x="28"/>
        <item x="25"/>
        <item x="22"/>
        <item x="7"/>
        <item x="20"/>
        <item x="24"/>
        <item x="9"/>
        <item x="14"/>
        <item x="29"/>
        <item x="17"/>
        <item x="4"/>
        <item t="default"/>
      </items>
    </pivotField>
    <pivotField showAll="0"/>
    <pivotField showAll="0"/>
    <pivotField numFmtId="4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73" showAll="0"/>
    <pivotField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showAll="0">
      <items count="7">
        <item x="0"/>
        <item x="3"/>
        <item x="5"/>
        <item x="2"/>
        <item x="4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460BD-78DE-734A-B19D-06779AE0BCDC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4:N10" firstHeaderRow="1" firstDataRow="2" firstDataCol="1"/>
  <pivotFields count="18">
    <pivotField showAll="0"/>
    <pivotField dataField="1" showAll="0"/>
    <pivotField showAll="0"/>
    <pivotField showAll="0"/>
    <pivotField showAll="0"/>
    <pivotField showAll="0">
      <items count="37">
        <item x="19"/>
        <item x="27"/>
        <item x="12"/>
        <item x="2"/>
        <item x="26"/>
        <item x="16"/>
        <item x="34"/>
        <item x="3"/>
        <item x="13"/>
        <item x="11"/>
        <item x="6"/>
        <item x="23"/>
        <item x="0"/>
        <item x="31"/>
        <item x="10"/>
        <item x="35"/>
        <item x="5"/>
        <item x="32"/>
        <item x="8"/>
        <item x="18"/>
        <item x="33"/>
        <item x="15"/>
        <item x="30"/>
        <item x="1"/>
        <item x="21"/>
        <item x="28"/>
        <item x="25"/>
        <item x="22"/>
        <item x="7"/>
        <item x="20"/>
        <item x="24"/>
        <item x="9"/>
        <item x="14"/>
        <item x="29"/>
        <item x="17"/>
        <item x="4"/>
        <item t="default"/>
      </items>
    </pivotField>
    <pivotField showAll="0"/>
    <pivotField showAll="0"/>
    <pivotField numFmtId="4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73" showAll="0"/>
    <pivotField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showAll="0">
      <items count="7">
        <item x="0"/>
        <item x="3"/>
        <item x="5"/>
        <item x="2"/>
        <item x="4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Employee_ID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343CF-F110-564A-8D14-F692E1C6F4B1}" name="PivotTable4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F6" firstHeaderRow="0" firstDataRow="0" firstDataCol="0"/>
  <pivotFields count="18">
    <pivotField showAll="0"/>
    <pivotField dataField="1" showAll="0">
      <items count="10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173" showAll="0"/>
    <pivotField axis="axisRow"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multipleItemSelectionAllowed="1" showAll="0">
      <items count="7">
        <item x="0"/>
        <item h="1" x="3"/>
        <item h="1" x="5"/>
        <item h="1" x="2"/>
        <item h="1" x="4"/>
        <item h="1"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Employee_ID" fld="1" subtotal="count" baseField="0" baseItem="0"/>
  </dataFields>
  <chartFormats count="9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10D1-4D27-FF4B-B043-9A82AD99623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:C11" firstHeaderRow="1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numFmtId="173" showAll="0"/>
    <pivotField axis="axisRow" multipleItemSelectionAllowed="1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mployee Coun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8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3A394-D08F-DA4B-9617-E466050F3C89}" name="Table1" displayName="Table1" ref="A1:R1021" totalsRowShown="0" headerRowDxfId="7">
  <autoFilter ref="A1:R1021" xr:uid="{E9D3A394-D08F-DA4B-9617-E466050F3C89}"/>
  <tableColumns count="18">
    <tableColumn id="1" xr3:uid="{DEBB3DB7-D6CC-434C-8DD7-1F9F217F8105}" name="Column1" dataDxfId="8"/>
    <tableColumn id="2" xr3:uid="{71910116-247F-2945-B873-B64F63CAB6D5}" name="Employee_ID" dataDxfId="6"/>
    <tableColumn id="3" xr3:uid="{013B0182-D274-1F4E-9BE5-81E921474EF4}" name="First_Name"/>
    <tableColumn id="4" xr3:uid="{6593A4E1-2F94-AB4F-96C6-D53201EF652E}" name="Last_Name"/>
    <tableColumn id="5" xr3:uid="{BD1B7EC4-9EC6-214A-A672-F8824993B875}" name="Age"/>
    <tableColumn id="6" xr3:uid="{5D52AF32-AA0C-3644-B7D2-E0253C59728E}" name="Department_Region"/>
    <tableColumn id="7" xr3:uid="{30EFE632-80A1-DE43-A48B-9D2E9DEF1DD7}" name="Status"/>
    <tableColumn id="8" xr3:uid="{5525ADC6-822B-854A-8A72-056167AF15EE}" name="Join_Date" dataDxfId="5"/>
    <tableColumn id="9" xr3:uid="{1CAAD158-2BC8-F94B-8F86-E6657D27C72D}" name="Salary" dataCellStyle="Comma [0]"/>
    <tableColumn id="10" xr3:uid="{56AF9DB1-02BB-9E4B-AF02-8E8E46E8EBC6}" name="Email"/>
    <tableColumn id="11" xr3:uid="{3BDA7792-2FBB-EE4A-97BE-6F22D54FB52C}" name="Phone"/>
    <tableColumn id="12" xr3:uid="{0DAB2E57-8BC0-DF40-AEB6-89B74C635472}" name="Performance_Score"/>
    <tableColumn id="13" xr3:uid="{04BA38CB-A6E6-254F-9299-30883FB08BA3}" name="Remote_Work"/>
    <tableColumn id="14" xr3:uid="{B3963502-1304-D440-8F7C-7E0B0F6B9641}" name="date_Clean" dataDxfId="4">
      <calculatedColumnFormula>IF(ISNUMBER(H2), H2, DATE(RIGHT(H2, 4), LEFT(H2, FIND("/", H2) - 1), MID(H2, FIND("/", H2) + 1, FIND("/", H2, FIND("/", H2) + 1) - FIND("/", H2) - 1)))</calculatedColumnFormula>
    </tableColumn>
    <tableColumn id="15" xr3:uid="{CCD3E7F3-8DB1-F545-97A0-AD7FEF0EAA9F}" name="Department" dataDxfId="2">
      <calculatedColumnFormula>LEFT(Table1[[#This Row],[Department_Region]], FIND("-", Table1[[#This Row],[Department_Region]]) - 1)</calculatedColumnFormula>
    </tableColumn>
    <tableColumn id="16" xr3:uid="{4FCEA2E1-1122-3A4B-ACDF-9B45615F9C18}" name="Location_Department" dataDxfId="3">
      <calculatedColumnFormula>RIGHT(Table1[[#This Row],[Department_Region]],LEN(Table1[[#This Row],[Department_Region]]) - FIND("-",Table1[[#This Row],[Department_Region]]))</calculatedColumnFormula>
    </tableColumn>
    <tableColumn id="17" xr3:uid="{45F5E8CA-FBF6-3F4C-AED2-45D669FD9D51}" name="Standart_Gaji" dataDxfId="0">
      <calculatedColumnFormula>IF(Table1[[#This Row],[Salary]] &lt; VLOOKUP(Table1[[#This Row],[Department]], SALARY!$A$2:$C$7, 2, FALSE), "Underpaid", IF(Table1[[#This Row],[Salary]] &gt; VLOOKUP(Table1[[#This Row],[Department]], SALARY!$A$2:$C$7, 3, FALSE), "Overpaid", "Standart"))</calculatedColumnFormula>
    </tableColumn>
    <tableColumn id="18" xr3:uid="{B3805B20-3E2C-3441-8B37-220AF15AB168}" name="Column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E948-FCF9-DB46-8F08-BDF5605E382B}">
  <dimension ref="B4:T30"/>
  <sheetViews>
    <sheetView tabSelected="1" topLeftCell="D19" zoomScale="75" zoomScaleNormal="173" workbookViewId="0">
      <selection activeCell="W48" sqref="W48"/>
    </sheetView>
  </sheetViews>
  <sheetFormatPr baseColWidth="10" defaultRowHeight="15" x14ac:dyDescent="0.2"/>
  <cols>
    <col min="1" max="2" width="12.1640625" bestFit="1" customWidth="1"/>
    <col min="3" max="3" width="18.33203125" bestFit="1" customWidth="1"/>
    <col min="4" max="4" width="7.5" customWidth="1"/>
    <col min="5" max="5" width="7.1640625" customWidth="1"/>
    <col min="6" max="6" width="18" bestFit="1" customWidth="1"/>
    <col min="7" max="7" width="18.5" bestFit="1" customWidth="1"/>
    <col min="8" max="9" width="6.83203125" customWidth="1"/>
    <col min="10" max="10" width="12.83203125" bestFit="1" customWidth="1"/>
    <col min="11" max="11" width="15.33203125" bestFit="1" customWidth="1"/>
    <col min="12" max="12" width="15.1640625" bestFit="1" customWidth="1"/>
    <col min="13" max="14" width="10.33203125" bestFit="1" customWidth="1"/>
    <col min="15" max="15" width="8.5" bestFit="1" customWidth="1"/>
    <col min="16" max="16" width="18.33203125" bestFit="1" customWidth="1"/>
    <col min="17" max="17" width="14.83203125" bestFit="1" customWidth="1"/>
    <col min="18" max="18" width="7.6640625" bestFit="1" customWidth="1"/>
    <col min="19" max="19" width="9.33203125" bestFit="1" customWidth="1"/>
    <col min="20" max="20" width="10" bestFit="1" customWidth="1"/>
    <col min="21" max="21" width="7.1640625" bestFit="1" customWidth="1"/>
    <col min="22" max="22" width="3.33203125" bestFit="1" customWidth="1"/>
    <col min="23" max="23" width="5" bestFit="1" customWidth="1"/>
    <col min="24" max="24" width="7.33203125" bestFit="1" customWidth="1"/>
    <col min="25" max="25" width="6.33203125" bestFit="1" customWidth="1"/>
    <col min="26" max="26" width="9.6640625" bestFit="1" customWidth="1"/>
    <col min="27" max="27" width="7" bestFit="1" customWidth="1"/>
    <col min="28" max="28" width="7.1640625" bestFit="1" customWidth="1"/>
    <col min="29" max="29" width="3.33203125" bestFit="1" customWidth="1"/>
    <col min="30" max="30" width="5" bestFit="1" customWidth="1"/>
    <col min="31" max="31" width="7.33203125" bestFit="1" customWidth="1"/>
    <col min="32" max="32" width="6.33203125" bestFit="1" customWidth="1"/>
    <col min="33" max="33" width="9.6640625" bestFit="1" customWidth="1"/>
    <col min="34" max="34" width="7" bestFit="1" customWidth="1"/>
    <col min="35" max="35" width="7.1640625" bestFit="1" customWidth="1"/>
    <col min="36" max="36" width="3.33203125" bestFit="1" customWidth="1"/>
    <col min="37" max="37" width="5" bestFit="1" customWidth="1"/>
    <col min="38" max="38" width="7.33203125" bestFit="1" customWidth="1"/>
    <col min="39" max="39" width="6.33203125" bestFit="1" customWidth="1"/>
    <col min="40" max="40" width="9.6640625" bestFit="1" customWidth="1"/>
    <col min="41" max="41" width="7" bestFit="1" customWidth="1"/>
    <col min="42" max="42" width="7.1640625" bestFit="1" customWidth="1"/>
    <col min="43" max="43" width="3.33203125" bestFit="1" customWidth="1"/>
    <col min="44" max="44" width="5" bestFit="1" customWidth="1"/>
    <col min="45" max="45" width="7.33203125" bestFit="1" customWidth="1"/>
    <col min="46" max="46" width="10" bestFit="1" customWidth="1"/>
  </cols>
  <sheetData>
    <row r="4" spans="2:14" x14ac:dyDescent="0.2">
      <c r="B4" s="18" t="s">
        <v>1941</v>
      </c>
      <c r="C4" t="s">
        <v>1949</v>
      </c>
      <c r="J4" s="18" t="s">
        <v>1948</v>
      </c>
      <c r="K4" s="18" t="s">
        <v>1946</v>
      </c>
    </row>
    <row r="5" spans="2:14" x14ac:dyDescent="0.2">
      <c r="B5" s="19" t="s">
        <v>1653</v>
      </c>
      <c r="C5" s="15">
        <v>166</v>
      </c>
      <c r="J5" s="18" t="s">
        <v>1941</v>
      </c>
      <c r="K5" t="s">
        <v>1943</v>
      </c>
      <c r="L5" t="s">
        <v>1944</v>
      </c>
      <c r="M5" t="s">
        <v>1945</v>
      </c>
      <c r="N5" t="s">
        <v>1942</v>
      </c>
    </row>
    <row r="6" spans="2:14" x14ac:dyDescent="0.2">
      <c r="B6" s="19" t="s">
        <v>1654</v>
      </c>
      <c r="C6" s="15">
        <v>146</v>
      </c>
      <c r="F6" s="15" t="e" vm="1">
        <v>#VALUE!</v>
      </c>
      <c r="J6" s="19" t="s">
        <v>18</v>
      </c>
      <c r="K6" s="15">
        <v>66</v>
      </c>
      <c r="L6" s="15">
        <v>151</v>
      </c>
      <c r="M6" s="15">
        <v>50</v>
      </c>
      <c r="N6" s="15">
        <v>267</v>
      </c>
    </row>
    <row r="7" spans="2:14" x14ac:dyDescent="0.2">
      <c r="B7" s="19" t="s">
        <v>1655</v>
      </c>
      <c r="C7" s="15">
        <v>189</v>
      </c>
      <c r="J7" s="19" t="s">
        <v>23</v>
      </c>
      <c r="K7" s="15">
        <v>78</v>
      </c>
      <c r="L7" s="15">
        <v>146</v>
      </c>
      <c r="M7" s="15">
        <v>43</v>
      </c>
      <c r="N7" s="15">
        <v>267</v>
      </c>
    </row>
    <row r="8" spans="2:14" x14ac:dyDescent="0.2">
      <c r="B8" s="19" t="s">
        <v>1656</v>
      </c>
      <c r="C8" s="15">
        <v>170</v>
      </c>
      <c r="J8" s="19" t="s">
        <v>30</v>
      </c>
      <c r="K8" s="15">
        <v>85</v>
      </c>
      <c r="L8" s="15">
        <v>135</v>
      </c>
      <c r="M8" s="15">
        <v>50</v>
      </c>
      <c r="N8" s="15">
        <v>270</v>
      </c>
    </row>
    <row r="9" spans="2:14" x14ac:dyDescent="0.2">
      <c r="B9" s="19" t="s">
        <v>1657</v>
      </c>
      <c r="C9" s="15">
        <v>171</v>
      </c>
      <c r="J9" s="19" t="s">
        <v>41</v>
      </c>
      <c r="K9" s="15">
        <v>62</v>
      </c>
      <c r="L9" s="15">
        <v>113</v>
      </c>
      <c r="M9" s="15">
        <v>41</v>
      </c>
      <c r="N9" s="15">
        <v>216</v>
      </c>
    </row>
    <row r="10" spans="2:14" x14ac:dyDescent="0.2">
      <c r="B10" s="19" t="s">
        <v>1658</v>
      </c>
      <c r="C10" s="15">
        <v>178</v>
      </c>
      <c r="J10" s="19" t="s">
        <v>1942</v>
      </c>
      <c r="K10" s="15">
        <v>291</v>
      </c>
      <c r="L10" s="15">
        <v>545</v>
      </c>
      <c r="M10" s="15">
        <v>184</v>
      </c>
      <c r="N10" s="15">
        <v>1020</v>
      </c>
    </row>
    <row r="11" spans="2:14" x14ac:dyDescent="0.2">
      <c r="B11" s="19" t="s">
        <v>1942</v>
      </c>
      <c r="C11" s="15">
        <v>1020</v>
      </c>
    </row>
    <row r="14" spans="2:14" x14ac:dyDescent="0.2">
      <c r="B14" s="18" t="s">
        <v>1941</v>
      </c>
      <c r="C14" t="s">
        <v>1956</v>
      </c>
    </row>
    <row r="15" spans="2:14" x14ac:dyDescent="0.2">
      <c r="B15" s="19">
        <v>25</v>
      </c>
      <c r="C15" s="15">
        <v>206</v>
      </c>
    </row>
    <row r="16" spans="2:14" x14ac:dyDescent="0.2">
      <c r="B16" s="19">
        <v>30</v>
      </c>
      <c r="C16" s="15">
        <v>205</v>
      </c>
    </row>
    <row r="17" spans="2:20" x14ac:dyDescent="0.2">
      <c r="B17" s="19">
        <v>32</v>
      </c>
      <c r="C17" s="15">
        <v>211</v>
      </c>
      <c r="J17" s="18" t="s">
        <v>1941</v>
      </c>
      <c r="K17" t="s">
        <v>1947</v>
      </c>
    </row>
    <row r="18" spans="2:20" x14ac:dyDescent="0.2">
      <c r="B18" s="19">
        <v>35</v>
      </c>
      <c r="C18" s="15">
        <v>188</v>
      </c>
      <c r="J18" s="19" t="s">
        <v>1653</v>
      </c>
      <c r="K18" s="20">
        <v>85191.113373494009</v>
      </c>
    </row>
    <row r="19" spans="2:20" x14ac:dyDescent="0.2">
      <c r="B19" s="19">
        <v>40</v>
      </c>
      <c r="C19" s="15">
        <v>210</v>
      </c>
      <c r="J19" s="19" t="s">
        <v>1654</v>
      </c>
      <c r="K19" s="20">
        <v>84931.324383561689</v>
      </c>
      <c r="P19" s="18" t="s">
        <v>1948</v>
      </c>
      <c r="Q19" s="18" t="s">
        <v>1946</v>
      </c>
    </row>
    <row r="20" spans="2:20" x14ac:dyDescent="0.2">
      <c r="B20" s="19" t="s">
        <v>1942</v>
      </c>
      <c r="C20" s="15">
        <v>1020</v>
      </c>
      <c r="J20" s="19" t="s">
        <v>1655</v>
      </c>
      <c r="K20" s="20">
        <v>85993.511111111176</v>
      </c>
      <c r="P20" s="18" t="s">
        <v>1941</v>
      </c>
      <c r="Q20" t="s">
        <v>1943</v>
      </c>
      <c r="R20" t="s">
        <v>1944</v>
      </c>
      <c r="S20" t="s">
        <v>1945</v>
      </c>
      <c r="T20" t="s">
        <v>1942</v>
      </c>
    </row>
    <row r="21" spans="2:20" x14ac:dyDescent="0.2">
      <c r="J21" s="19" t="s">
        <v>1656</v>
      </c>
      <c r="K21" s="20">
        <v>82275.015588235328</v>
      </c>
      <c r="P21" s="19" t="s">
        <v>1653</v>
      </c>
      <c r="Q21" s="15">
        <v>111</v>
      </c>
      <c r="R21" s="15">
        <v>55</v>
      </c>
      <c r="S21" s="15"/>
      <c r="T21" s="15">
        <v>166</v>
      </c>
    </row>
    <row r="22" spans="2:20" x14ac:dyDescent="0.2">
      <c r="J22" s="19" t="s">
        <v>1657</v>
      </c>
      <c r="K22" s="20">
        <v>85466.424619883037</v>
      </c>
      <c r="P22" s="19" t="s">
        <v>1654</v>
      </c>
      <c r="Q22" s="15"/>
      <c r="R22" s="15">
        <v>83</v>
      </c>
      <c r="S22" s="15">
        <v>63</v>
      </c>
      <c r="T22" s="15">
        <v>146</v>
      </c>
    </row>
    <row r="23" spans="2:20" x14ac:dyDescent="0.2">
      <c r="B23" s="18" t="s">
        <v>1941</v>
      </c>
      <c r="C23" t="s">
        <v>1948</v>
      </c>
      <c r="J23" s="19" t="s">
        <v>1658</v>
      </c>
      <c r="K23" s="20">
        <v>86867.496235955085</v>
      </c>
      <c r="P23" s="19" t="s">
        <v>1655</v>
      </c>
      <c r="Q23" s="15"/>
      <c r="R23" s="15">
        <v>99</v>
      </c>
      <c r="S23" s="15">
        <v>90</v>
      </c>
      <c r="T23" s="15">
        <v>189</v>
      </c>
    </row>
    <row r="24" spans="2:20" x14ac:dyDescent="0.2">
      <c r="B24" s="19" t="s">
        <v>1950</v>
      </c>
      <c r="C24" s="15">
        <v>187</v>
      </c>
      <c r="J24" s="19" t="s">
        <v>1942</v>
      </c>
      <c r="K24" s="20">
        <v>85155.291539215628</v>
      </c>
      <c r="P24" s="19" t="s">
        <v>1656</v>
      </c>
      <c r="Q24" s="15">
        <v>29</v>
      </c>
      <c r="R24" s="15">
        <v>110</v>
      </c>
      <c r="S24" s="15">
        <v>31</v>
      </c>
      <c r="T24" s="15">
        <v>170</v>
      </c>
    </row>
    <row r="25" spans="2:20" x14ac:dyDescent="0.2">
      <c r="B25" s="19" t="s">
        <v>1951</v>
      </c>
      <c r="C25" s="15">
        <v>185</v>
      </c>
      <c r="P25" s="19" t="s">
        <v>1657</v>
      </c>
      <c r="Q25" s="15">
        <v>89</v>
      </c>
      <c r="R25" s="15">
        <v>82</v>
      </c>
      <c r="S25" s="15"/>
      <c r="T25" s="15">
        <v>171</v>
      </c>
    </row>
    <row r="26" spans="2:20" x14ac:dyDescent="0.2">
      <c r="B26" s="19" t="s">
        <v>1952</v>
      </c>
      <c r="C26" s="15">
        <v>165</v>
      </c>
      <c r="P26" s="19" t="s">
        <v>1658</v>
      </c>
      <c r="Q26" s="15">
        <v>62</v>
      </c>
      <c r="R26" s="15">
        <v>116</v>
      </c>
      <c r="S26" s="15"/>
      <c r="T26" s="15">
        <v>178</v>
      </c>
    </row>
    <row r="27" spans="2:20" x14ac:dyDescent="0.2">
      <c r="B27" s="19" t="s">
        <v>1953</v>
      </c>
      <c r="C27" s="15">
        <v>169</v>
      </c>
      <c r="P27" s="19" t="s">
        <v>1942</v>
      </c>
      <c r="Q27" s="15">
        <v>291</v>
      </c>
      <c r="R27" s="15">
        <v>545</v>
      </c>
      <c r="S27" s="15">
        <v>184</v>
      </c>
      <c r="T27" s="15">
        <v>1020</v>
      </c>
    </row>
    <row r="28" spans="2:20" x14ac:dyDescent="0.2">
      <c r="B28" s="19" t="s">
        <v>1954</v>
      </c>
      <c r="C28" s="15">
        <v>161</v>
      </c>
    </row>
    <row r="29" spans="2:20" x14ac:dyDescent="0.2">
      <c r="B29" s="19" t="s">
        <v>1955</v>
      </c>
      <c r="C29" s="15">
        <v>153</v>
      </c>
    </row>
    <row r="30" spans="2:20" x14ac:dyDescent="0.2">
      <c r="B30" s="19" t="s">
        <v>1942</v>
      </c>
      <c r="C30" s="15">
        <v>1020</v>
      </c>
    </row>
  </sheetData>
  <pageMargins left="0.7" right="0.7" top="0.75" bottom="0.75" header="0.3" footer="0.3"/>
  <pageSetup paperSize="9" orientation="portrait" horizontalDpi="0" verticalDpi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1"/>
  <sheetViews>
    <sheetView topLeftCell="I1" zoomScale="87" zoomScaleNormal="75" workbookViewId="0">
      <selection activeCell="O2" sqref="O2"/>
    </sheetView>
  </sheetViews>
  <sheetFormatPr baseColWidth="10" defaultColWidth="8.83203125" defaultRowHeight="15" x14ac:dyDescent="0.2"/>
  <cols>
    <col min="1" max="1" width="10" customWidth="1"/>
    <col min="2" max="2" width="37" style="6" customWidth="1"/>
    <col min="3" max="3" width="17.5" customWidth="1"/>
    <col min="4" max="4" width="14.6640625" customWidth="1"/>
    <col min="5" max="5" width="23.6640625" customWidth="1"/>
    <col min="6" max="6" width="25.1640625" customWidth="1"/>
    <col min="7" max="7" width="14.5" customWidth="1"/>
    <col min="8" max="8" width="36.33203125" style="15" customWidth="1"/>
    <col min="9" max="9" width="33.1640625" style="11" customWidth="1"/>
    <col min="10" max="10" width="38.83203125" customWidth="1"/>
    <col min="11" max="11" width="28.5" customWidth="1"/>
    <col min="12" max="12" width="23" customWidth="1"/>
    <col min="13" max="13" width="14.5" customWidth="1"/>
    <col min="14" max="14" width="32.83203125" customWidth="1"/>
    <col min="15" max="15" width="19.5" customWidth="1"/>
    <col min="16" max="16" width="33" customWidth="1"/>
    <col min="17" max="17" width="29.1640625" customWidth="1"/>
    <col min="18" max="18" width="16.1640625" customWidth="1"/>
  </cols>
  <sheetData>
    <row r="1" spans="1:18" x14ac:dyDescent="0.2">
      <c r="A1" t="s">
        <v>1666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4" t="s">
        <v>6</v>
      </c>
      <c r="I1" s="10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3" t="s">
        <v>1938</v>
      </c>
      <c r="O1" s="13" t="s">
        <v>1936</v>
      </c>
      <c r="P1" s="13" t="s">
        <v>1937</v>
      </c>
      <c r="Q1" s="13" t="s">
        <v>1939</v>
      </c>
      <c r="R1" s="13" t="s">
        <v>1940</v>
      </c>
    </row>
    <row r="2" spans="1:18" x14ac:dyDescent="0.2">
      <c r="A2" s="1">
        <v>0</v>
      </c>
      <c r="B2" s="6" t="s">
        <v>12</v>
      </c>
      <c r="C2" t="s">
        <v>13</v>
      </c>
      <c r="D2" t="s">
        <v>14</v>
      </c>
      <c r="E2">
        <v>25</v>
      </c>
      <c r="F2" t="s">
        <v>15</v>
      </c>
      <c r="G2" t="s">
        <v>16</v>
      </c>
      <c r="H2" s="6" t="s">
        <v>1671</v>
      </c>
      <c r="I2" s="11">
        <v>59767.65</v>
      </c>
      <c r="J2" t="s">
        <v>17</v>
      </c>
      <c r="K2">
        <v>-1651623197</v>
      </c>
      <c r="L2" t="s">
        <v>18</v>
      </c>
      <c r="M2" t="b">
        <v>1</v>
      </c>
      <c r="N2" s="17">
        <f>IF(ISNUMBER(H2), H2, DATE(RIGHT(H2, 4), LEFT(H2, FIND("/", H2) - 1), MID(H2, FIND("/", H2) + 1, FIND("/", H2, FIND("/", H2) + 1) - FIND("/", H2) - 1)))</f>
        <v>44288</v>
      </c>
      <c r="O2" t="str">
        <f>LEFT(Table1[[#This Row],[Department_Region]], FIND("-", Table1[[#This Row],[Department_Region]]) - 1)</f>
        <v>DevOps</v>
      </c>
      <c r="P2" t="str">
        <f>RIGHT(Table1[[#This Row],[Department_Region]],LEN(Table1[[#This Row],[Department_Region]]) - FIND("-",Table1[[#This Row],[Department_Region]]))</f>
        <v>California</v>
      </c>
      <c r="Q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" s="15"/>
    </row>
    <row r="3" spans="1:18" x14ac:dyDescent="0.2">
      <c r="A3" s="1">
        <v>1</v>
      </c>
      <c r="B3" s="6" t="s">
        <v>19</v>
      </c>
      <c r="C3" t="s">
        <v>13</v>
      </c>
      <c r="D3" t="s">
        <v>20</v>
      </c>
      <c r="E3">
        <v>32</v>
      </c>
      <c r="F3" t="s">
        <v>21</v>
      </c>
      <c r="G3" t="s">
        <v>16</v>
      </c>
      <c r="H3" s="6" t="s">
        <v>1672</v>
      </c>
      <c r="I3" s="11">
        <v>65304.66</v>
      </c>
      <c r="J3" t="s">
        <v>22</v>
      </c>
      <c r="K3">
        <v>-1898471390</v>
      </c>
      <c r="L3" t="s">
        <v>23</v>
      </c>
      <c r="M3" t="b">
        <v>1</v>
      </c>
      <c r="N3" s="17">
        <f t="shared" ref="N2:N65" si="0">IF(ISNUMBER(H3), H3, DATE(RIGHT(H3, 4), LEFT(H3, FIND("/", H3) - 1), MID(H3, FIND("/", H3) + 1, FIND("/", H3, FIND("/", H3) + 1) - FIND("/", H3) - 1)))</f>
        <v>44022</v>
      </c>
      <c r="O3" t="str">
        <f>LEFT(Table1[[#This Row],[Department_Region]], FIND("-", Table1[[#This Row],[Department_Region]]) - 1)</f>
        <v>Finance</v>
      </c>
      <c r="P3" t="str">
        <f>RIGHT(Table1[[#This Row],[Department_Region]],LEN(Table1[[#This Row],[Department_Region]]) - FIND("-",Table1[[#This Row],[Department_Region]]))</f>
        <v>Texas</v>
      </c>
      <c r="Q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" s="15"/>
    </row>
    <row r="4" spans="1:18" x14ac:dyDescent="0.2">
      <c r="A4" s="1">
        <v>2</v>
      </c>
      <c r="B4" s="6" t="s">
        <v>24</v>
      </c>
      <c r="C4" t="s">
        <v>25</v>
      </c>
      <c r="D4" t="s">
        <v>26</v>
      </c>
      <c r="E4">
        <v>32</v>
      </c>
      <c r="F4" t="s">
        <v>27</v>
      </c>
      <c r="G4" t="s">
        <v>28</v>
      </c>
      <c r="H4" s="6" t="s">
        <v>1673</v>
      </c>
      <c r="I4" s="11">
        <v>88145.9</v>
      </c>
      <c r="J4" t="s">
        <v>29</v>
      </c>
      <c r="K4">
        <v>-5596363211</v>
      </c>
      <c r="L4" t="s">
        <v>30</v>
      </c>
      <c r="M4" t="b">
        <v>1</v>
      </c>
      <c r="N4" s="17">
        <f t="shared" si="0"/>
        <v>45267</v>
      </c>
      <c r="O4" t="str">
        <f>LEFT(Table1[[#This Row],[Department_Region]], FIND("-", Table1[[#This Row],[Department_Region]]) - 1)</f>
        <v>Admin</v>
      </c>
      <c r="P4" t="str">
        <f>RIGHT(Table1[[#This Row],[Department_Region]],LEN(Table1[[#This Row],[Department_Region]]) - FIND("-",Table1[[#This Row],[Department_Region]]))</f>
        <v>Nevada</v>
      </c>
      <c r="Q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" s="15"/>
    </row>
    <row r="5" spans="1:18" x14ac:dyDescent="0.2">
      <c r="A5" s="1">
        <v>3</v>
      </c>
      <c r="B5" s="6" t="s">
        <v>31</v>
      </c>
      <c r="C5" t="s">
        <v>32</v>
      </c>
      <c r="D5" t="s">
        <v>14</v>
      </c>
      <c r="E5">
        <v>25</v>
      </c>
      <c r="F5" t="s">
        <v>27</v>
      </c>
      <c r="G5" t="s">
        <v>33</v>
      </c>
      <c r="H5" s="16" t="s">
        <v>34</v>
      </c>
      <c r="I5" s="11">
        <v>69450.990000000005</v>
      </c>
      <c r="J5" t="s">
        <v>35</v>
      </c>
      <c r="K5">
        <v>-3476490784</v>
      </c>
      <c r="L5" t="s">
        <v>30</v>
      </c>
      <c r="M5" t="b">
        <v>1</v>
      </c>
      <c r="N5" s="17">
        <f t="shared" si="0"/>
        <v>44527</v>
      </c>
      <c r="O5" t="str">
        <f>LEFT(Table1[[#This Row],[Department_Region]], FIND("-", Table1[[#This Row],[Department_Region]]) - 1)</f>
        <v>Admin</v>
      </c>
      <c r="P5" t="str">
        <f>RIGHT(Table1[[#This Row],[Department_Region]],LEN(Table1[[#This Row],[Department_Region]]) - FIND("-",Table1[[#This Row],[Department_Region]]))</f>
        <v>Nevada</v>
      </c>
      <c r="Q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" s="15"/>
    </row>
    <row r="6" spans="1:18" x14ac:dyDescent="0.2">
      <c r="A6" s="1">
        <v>4</v>
      </c>
      <c r="B6" s="6" t="s">
        <v>36</v>
      </c>
      <c r="C6" t="s">
        <v>37</v>
      </c>
      <c r="D6" t="s">
        <v>38</v>
      </c>
      <c r="E6">
        <v>25</v>
      </c>
      <c r="F6" t="s">
        <v>39</v>
      </c>
      <c r="G6" t="s">
        <v>16</v>
      </c>
      <c r="H6" s="6" t="s">
        <v>1674</v>
      </c>
      <c r="I6" s="11">
        <v>109324.61</v>
      </c>
      <c r="J6" t="s">
        <v>40</v>
      </c>
      <c r="K6">
        <v>-1586734256</v>
      </c>
      <c r="L6" t="s">
        <v>41</v>
      </c>
      <c r="M6" t="b">
        <v>0</v>
      </c>
      <c r="N6" s="17">
        <f t="shared" si="0"/>
        <v>44566</v>
      </c>
      <c r="O6" t="str">
        <f>LEFT(Table1[[#This Row],[Department_Region]], FIND("-", Table1[[#This Row],[Department_Region]]) - 1)</f>
        <v>Cloud Tech</v>
      </c>
      <c r="P6" t="str">
        <f>RIGHT(Table1[[#This Row],[Department_Region]],LEN(Table1[[#This Row],[Department_Region]]) - FIND("-",Table1[[#This Row],[Department_Region]]))</f>
        <v>Florida</v>
      </c>
      <c r="Q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" s="15"/>
    </row>
    <row r="7" spans="1:18" x14ac:dyDescent="0.2">
      <c r="A7" s="1">
        <v>5</v>
      </c>
      <c r="B7" s="6" t="s">
        <v>42</v>
      </c>
      <c r="C7" t="s">
        <v>25</v>
      </c>
      <c r="D7" t="s">
        <v>43</v>
      </c>
      <c r="E7">
        <v>40</v>
      </c>
      <c r="F7" t="s">
        <v>44</v>
      </c>
      <c r="G7" t="s">
        <v>33</v>
      </c>
      <c r="H7" s="6" t="s">
        <v>1675</v>
      </c>
      <c r="I7" s="11">
        <v>88642.84</v>
      </c>
      <c r="J7" t="s">
        <v>45</v>
      </c>
      <c r="K7">
        <v>-5409003485</v>
      </c>
      <c r="L7" t="s">
        <v>30</v>
      </c>
      <c r="M7" t="b">
        <v>0</v>
      </c>
      <c r="N7" s="17">
        <f t="shared" si="0"/>
        <v>43992</v>
      </c>
      <c r="O7" t="str">
        <f>LEFT(Table1[[#This Row],[Department_Region]], FIND("-", Table1[[#This Row],[Department_Region]]) - 1)</f>
        <v>Sales</v>
      </c>
      <c r="P7" t="str">
        <f>RIGHT(Table1[[#This Row],[Department_Region]],LEN(Table1[[#This Row],[Department_Region]]) - FIND("-",Table1[[#This Row],[Department_Region]]))</f>
        <v>Texas</v>
      </c>
      <c r="Q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" s="15"/>
    </row>
    <row r="8" spans="1:18" x14ac:dyDescent="0.2">
      <c r="A8" s="1">
        <v>6</v>
      </c>
      <c r="B8" s="6" t="s">
        <v>46</v>
      </c>
      <c r="C8" t="s">
        <v>37</v>
      </c>
      <c r="D8" t="s">
        <v>26</v>
      </c>
      <c r="E8">
        <v>32</v>
      </c>
      <c r="F8" t="s">
        <v>27</v>
      </c>
      <c r="G8" t="s">
        <v>16</v>
      </c>
      <c r="H8" s="6" t="s">
        <v>1676</v>
      </c>
      <c r="I8" s="11">
        <v>96288.43</v>
      </c>
      <c r="J8" t="s">
        <v>47</v>
      </c>
      <c r="K8">
        <v>-4518376063</v>
      </c>
      <c r="L8" t="s">
        <v>30</v>
      </c>
      <c r="M8" t="b">
        <v>0</v>
      </c>
      <c r="N8" s="17">
        <f t="shared" si="0"/>
        <v>43924</v>
      </c>
      <c r="O8" t="str">
        <f>LEFT(Table1[[#This Row],[Department_Region]], FIND("-", Table1[[#This Row],[Department_Region]]) - 1)</f>
        <v>Admin</v>
      </c>
      <c r="P8" t="str">
        <f>RIGHT(Table1[[#This Row],[Department_Region]],LEN(Table1[[#This Row],[Department_Region]]) - FIND("-",Table1[[#This Row],[Department_Region]]))</f>
        <v>Nevada</v>
      </c>
      <c r="Q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" s="15"/>
    </row>
    <row r="9" spans="1:18" x14ac:dyDescent="0.2">
      <c r="A9" s="1">
        <v>7</v>
      </c>
      <c r="B9" s="6" t="s">
        <v>48</v>
      </c>
      <c r="C9" t="s">
        <v>13</v>
      </c>
      <c r="D9" t="s">
        <v>26</v>
      </c>
      <c r="E9">
        <v>30</v>
      </c>
      <c r="F9" t="s">
        <v>39</v>
      </c>
      <c r="G9" t="s">
        <v>33</v>
      </c>
      <c r="H9" s="6" t="s">
        <v>49</v>
      </c>
      <c r="I9" s="11">
        <v>94497.91</v>
      </c>
      <c r="J9" t="s">
        <v>50</v>
      </c>
      <c r="K9">
        <v>-4134327559</v>
      </c>
      <c r="L9" t="s">
        <v>18</v>
      </c>
      <c r="M9" t="b">
        <v>1</v>
      </c>
      <c r="N9" s="17">
        <f t="shared" si="0"/>
        <v>44759</v>
      </c>
      <c r="O9" t="str">
        <f>LEFT(Table1[[#This Row],[Department_Region]], FIND("-", Table1[[#This Row],[Department_Region]]) - 1)</f>
        <v>Cloud Tech</v>
      </c>
      <c r="P9" t="str">
        <f>RIGHT(Table1[[#This Row],[Department_Region]],LEN(Table1[[#This Row],[Department_Region]]) - FIND("-",Table1[[#This Row],[Department_Region]]))</f>
        <v>Florida</v>
      </c>
      <c r="Q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" s="15"/>
    </row>
    <row r="10" spans="1:18" x14ac:dyDescent="0.2">
      <c r="A10" s="1">
        <v>8</v>
      </c>
      <c r="B10" s="6" t="s">
        <v>51</v>
      </c>
      <c r="C10" t="s">
        <v>37</v>
      </c>
      <c r="D10" t="s">
        <v>14</v>
      </c>
      <c r="E10">
        <v>35</v>
      </c>
      <c r="F10" t="s">
        <v>27</v>
      </c>
      <c r="G10" t="s">
        <v>33</v>
      </c>
      <c r="H10" s="6" t="s">
        <v>1677</v>
      </c>
      <c r="I10" s="11">
        <v>115565.82</v>
      </c>
      <c r="J10" t="s">
        <v>52</v>
      </c>
      <c r="K10">
        <v>-4177656123</v>
      </c>
      <c r="L10" t="s">
        <v>23</v>
      </c>
      <c r="M10" t="b">
        <v>1</v>
      </c>
      <c r="N10" s="17">
        <f t="shared" si="0"/>
        <v>45268</v>
      </c>
      <c r="O10" t="str">
        <f>LEFT(Table1[[#This Row],[Department_Region]], FIND("-", Table1[[#This Row],[Department_Region]]) - 1)</f>
        <v>Admin</v>
      </c>
      <c r="P10" t="str">
        <f>RIGHT(Table1[[#This Row],[Department_Region]],LEN(Table1[[#This Row],[Department_Region]]) - FIND("-",Table1[[#This Row],[Department_Region]]))</f>
        <v>Nevada</v>
      </c>
      <c r="Q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" s="15"/>
    </row>
    <row r="11" spans="1:18" x14ac:dyDescent="0.2">
      <c r="A11" s="1">
        <v>9</v>
      </c>
      <c r="B11" s="6" t="s">
        <v>53</v>
      </c>
      <c r="C11" t="s">
        <v>54</v>
      </c>
      <c r="D11" t="s">
        <v>55</v>
      </c>
      <c r="E11">
        <v>32</v>
      </c>
      <c r="F11" t="s">
        <v>56</v>
      </c>
      <c r="G11" t="s">
        <v>16</v>
      </c>
      <c r="H11" s="6" t="s">
        <v>1678</v>
      </c>
      <c r="I11" s="11">
        <v>76561.88</v>
      </c>
      <c r="J11" t="s">
        <v>57</v>
      </c>
      <c r="K11">
        <v>-8156985699</v>
      </c>
      <c r="L11" t="s">
        <v>23</v>
      </c>
      <c r="M11" t="b">
        <v>1</v>
      </c>
      <c r="N11" s="17">
        <f t="shared" si="0"/>
        <v>44777</v>
      </c>
      <c r="O11" t="str">
        <f>LEFT(Table1[[#This Row],[Department_Region]], FIND("-", Table1[[#This Row],[Department_Region]]) - 1)</f>
        <v>DevOps</v>
      </c>
      <c r="P11" t="str">
        <f>RIGHT(Table1[[#This Row],[Department_Region]],LEN(Table1[[#This Row],[Department_Region]]) - FIND("-",Table1[[#This Row],[Department_Region]]))</f>
        <v>New York</v>
      </c>
      <c r="Q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1" s="15"/>
    </row>
    <row r="12" spans="1:18" x14ac:dyDescent="0.2">
      <c r="A12" s="1">
        <v>10</v>
      </c>
      <c r="B12" s="6" t="s">
        <v>58</v>
      </c>
      <c r="C12" t="s">
        <v>59</v>
      </c>
      <c r="D12" t="s">
        <v>38</v>
      </c>
      <c r="E12">
        <v>35</v>
      </c>
      <c r="F12" t="s">
        <v>60</v>
      </c>
      <c r="G12" t="s">
        <v>16</v>
      </c>
      <c r="H12" s="6" t="s">
        <v>1679</v>
      </c>
      <c r="I12" s="11">
        <v>72081.710000000006</v>
      </c>
      <c r="J12" t="s">
        <v>61</v>
      </c>
      <c r="K12">
        <v>-2720634590</v>
      </c>
      <c r="L12" t="s">
        <v>18</v>
      </c>
      <c r="M12" t="b">
        <v>0</v>
      </c>
      <c r="N12" s="17">
        <f t="shared" si="0"/>
        <v>45479</v>
      </c>
      <c r="O12" t="str">
        <f>LEFT(Table1[[#This Row],[Department_Region]], FIND("-", Table1[[#This Row],[Department_Region]]) - 1)</f>
        <v>Cloud Tech</v>
      </c>
      <c r="P12" t="str">
        <f>RIGHT(Table1[[#This Row],[Department_Region]],LEN(Table1[[#This Row],[Department_Region]]) - FIND("-",Table1[[#This Row],[Department_Region]]))</f>
        <v>New York</v>
      </c>
      <c r="Q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2" s="15"/>
    </row>
    <row r="13" spans="1:18" x14ac:dyDescent="0.2">
      <c r="A13" s="1">
        <v>11</v>
      </c>
      <c r="B13" s="6" t="s">
        <v>62</v>
      </c>
      <c r="C13" t="s">
        <v>59</v>
      </c>
      <c r="D13" t="s">
        <v>14</v>
      </c>
      <c r="E13">
        <v>32</v>
      </c>
      <c r="F13" t="s">
        <v>15</v>
      </c>
      <c r="G13" t="s">
        <v>16</v>
      </c>
      <c r="H13" s="6" t="s">
        <v>1680</v>
      </c>
      <c r="I13" s="11">
        <v>84946.19</v>
      </c>
      <c r="J13" t="s">
        <v>63</v>
      </c>
      <c r="K13">
        <v>-1238296576</v>
      </c>
      <c r="L13" t="s">
        <v>41</v>
      </c>
      <c r="M13" t="b">
        <v>1</v>
      </c>
      <c r="N13" s="17">
        <f t="shared" si="0"/>
        <v>45173</v>
      </c>
      <c r="O13" t="str">
        <f>LEFT(Table1[[#This Row],[Department_Region]], FIND("-", Table1[[#This Row],[Department_Region]]) - 1)</f>
        <v>DevOps</v>
      </c>
      <c r="P13" t="str">
        <f>RIGHT(Table1[[#This Row],[Department_Region]],LEN(Table1[[#This Row],[Department_Region]]) - FIND("-",Table1[[#This Row],[Department_Region]]))</f>
        <v>California</v>
      </c>
      <c r="Q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3" s="15"/>
    </row>
    <row r="14" spans="1:18" x14ac:dyDescent="0.2">
      <c r="A14" s="1">
        <v>12</v>
      </c>
      <c r="B14" s="6" t="s">
        <v>64</v>
      </c>
      <c r="C14" t="s">
        <v>65</v>
      </c>
      <c r="D14" t="s">
        <v>38</v>
      </c>
      <c r="E14">
        <v>30</v>
      </c>
      <c r="F14" t="s">
        <v>66</v>
      </c>
      <c r="G14" t="s">
        <v>16</v>
      </c>
      <c r="H14" s="6" t="s">
        <v>1681</v>
      </c>
      <c r="I14" s="11">
        <v>89295.77</v>
      </c>
      <c r="J14" t="s">
        <v>67</v>
      </c>
      <c r="K14">
        <v>-2429543164</v>
      </c>
      <c r="L14" t="s">
        <v>23</v>
      </c>
      <c r="M14" t="b">
        <v>0</v>
      </c>
      <c r="N14" s="17">
        <f t="shared" si="0"/>
        <v>45356</v>
      </c>
      <c r="O14" t="str">
        <f>LEFT(Table1[[#This Row],[Department_Region]], FIND("-", Table1[[#This Row],[Department_Region]]) - 1)</f>
        <v>HR</v>
      </c>
      <c r="P14" t="str">
        <f>RIGHT(Table1[[#This Row],[Department_Region]],LEN(Table1[[#This Row],[Department_Region]]) - FIND("-",Table1[[#This Row],[Department_Region]]))</f>
        <v>New York</v>
      </c>
      <c r="Q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4" s="15"/>
    </row>
    <row r="15" spans="1:18" x14ac:dyDescent="0.2">
      <c r="A15" s="1">
        <v>13</v>
      </c>
      <c r="B15" s="6" t="s">
        <v>68</v>
      </c>
      <c r="C15" t="s">
        <v>69</v>
      </c>
      <c r="D15" t="s">
        <v>38</v>
      </c>
      <c r="E15">
        <v>32</v>
      </c>
      <c r="F15" t="s">
        <v>70</v>
      </c>
      <c r="G15" t="s">
        <v>16</v>
      </c>
      <c r="H15" s="6" t="s">
        <v>71</v>
      </c>
      <c r="I15" s="11">
        <v>85666.84</v>
      </c>
      <c r="J15" t="s">
        <v>72</v>
      </c>
      <c r="K15">
        <v>-2669300892</v>
      </c>
      <c r="L15" t="s">
        <v>30</v>
      </c>
      <c r="M15" t="b">
        <v>0</v>
      </c>
      <c r="N15" s="17">
        <f t="shared" si="0"/>
        <v>44114</v>
      </c>
      <c r="O15" t="str">
        <f>LEFT(Table1[[#This Row],[Department_Region]], FIND("-", Table1[[#This Row],[Department_Region]]) - 1)</f>
        <v>Finance</v>
      </c>
      <c r="P15" t="str">
        <f>RIGHT(Table1[[#This Row],[Department_Region]],LEN(Table1[[#This Row],[Department_Region]]) - FIND("-",Table1[[#This Row],[Department_Region]]))</f>
        <v>California</v>
      </c>
      <c r="Q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5" s="15"/>
    </row>
    <row r="16" spans="1:18" x14ac:dyDescent="0.2">
      <c r="A16" s="1">
        <v>14</v>
      </c>
      <c r="B16" s="6" t="s">
        <v>73</v>
      </c>
      <c r="C16" t="s">
        <v>25</v>
      </c>
      <c r="D16" t="s">
        <v>43</v>
      </c>
      <c r="E16">
        <v>25</v>
      </c>
      <c r="F16" t="s">
        <v>27</v>
      </c>
      <c r="G16" t="s">
        <v>16</v>
      </c>
      <c r="H16" s="6" t="s">
        <v>1682</v>
      </c>
      <c r="I16" s="11">
        <v>97633.68</v>
      </c>
      <c r="J16" t="s">
        <v>45</v>
      </c>
      <c r="K16">
        <v>-1734206968</v>
      </c>
      <c r="L16" t="s">
        <v>23</v>
      </c>
      <c r="M16" t="b">
        <v>1</v>
      </c>
      <c r="N16" s="17">
        <f t="shared" si="0"/>
        <v>45453</v>
      </c>
      <c r="O16" t="str">
        <f>LEFT(Table1[[#This Row],[Department_Region]], FIND("-", Table1[[#This Row],[Department_Region]]) - 1)</f>
        <v>Admin</v>
      </c>
      <c r="P16" t="str">
        <f>RIGHT(Table1[[#This Row],[Department_Region]],LEN(Table1[[#This Row],[Department_Region]]) - FIND("-",Table1[[#This Row],[Department_Region]]))</f>
        <v>Nevada</v>
      </c>
      <c r="Q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6" s="15"/>
    </row>
    <row r="17" spans="1:18" x14ac:dyDescent="0.2">
      <c r="A17" s="1">
        <v>15</v>
      </c>
      <c r="B17" s="6" t="s">
        <v>74</v>
      </c>
      <c r="C17" t="s">
        <v>69</v>
      </c>
      <c r="D17" t="s">
        <v>26</v>
      </c>
      <c r="E17">
        <v>40</v>
      </c>
      <c r="F17" t="s">
        <v>75</v>
      </c>
      <c r="G17" t="s">
        <v>28</v>
      </c>
      <c r="H17" s="6" t="s">
        <v>76</v>
      </c>
      <c r="I17" s="11">
        <v>117975.49</v>
      </c>
      <c r="J17" t="s">
        <v>77</v>
      </c>
      <c r="K17">
        <v>-4215291085</v>
      </c>
      <c r="L17" t="s">
        <v>30</v>
      </c>
      <c r="M17" t="b">
        <v>1</v>
      </c>
      <c r="N17" s="17">
        <f t="shared" si="0"/>
        <v>44345</v>
      </c>
      <c r="O17" t="str">
        <f>LEFT(Table1[[#This Row],[Department_Region]], FIND("-", Table1[[#This Row],[Department_Region]]) - 1)</f>
        <v>Sales</v>
      </c>
      <c r="P17" t="str">
        <f>RIGHT(Table1[[#This Row],[Department_Region]],LEN(Table1[[#This Row],[Department_Region]]) - FIND("-",Table1[[#This Row],[Department_Region]]))</f>
        <v>Florida</v>
      </c>
      <c r="Q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7" s="15"/>
    </row>
    <row r="18" spans="1:18" x14ac:dyDescent="0.2">
      <c r="A18" s="1">
        <v>16</v>
      </c>
      <c r="B18" s="6" t="s">
        <v>78</v>
      </c>
      <c r="C18" t="s">
        <v>25</v>
      </c>
      <c r="D18" t="s">
        <v>20</v>
      </c>
      <c r="E18">
        <v>25</v>
      </c>
      <c r="F18" t="s">
        <v>79</v>
      </c>
      <c r="G18" t="s">
        <v>33</v>
      </c>
      <c r="H18" s="6" t="s">
        <v>80</v>
      </c>
      <c r="I18" s="11">
        <v>94867.33</v>
      </c>
      <c r="J18" t="s">
        <v>81</v>
      </c>
      <c r="K18">
        <v>-7713334475</v>
      </c>
      <c r="L18" t="s">
        <v>41</v>
      </c>
      <c r="M18" t="b">
        <v>0</v>
      </c>
      <c r="N18" s="17">
        <f t="shared" si="0"/>
        <v>45405</v>
      </c>
      <c r="O18" t="str">
        <f>LEFT(Table1[[#This Row],[Department_Region]], FIND("-", Table1[[#This Row],[Department_Region]]) - 1)</f>
        <v>DevOps</v>
      </c>
      <c r="P18" t="str">
        <f>RIGHT(Table1[[#This Row],[Department_Region]],LEN(Table1[[#This Row],[Department_Region]]) - FIND("-",Table1[[#This Row],[Department_Region]]))</f>
        <v>Illinois</v>
      </c>
      <c r="Q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8" s="15"/>
    </row>
    <row r="19" spans="1:18" x14ac:dyDescent="0.2">
      <c r="A19" s="1">
        <v>17</v>
      </c>
      <c r="B19" s="6" t="s">
        <v>82</v>
      </c>
      <c r="C19" t="s">
        <v>69</v>
      </c>
      <c r="D19" t="s">
        <v>43</v>
      </c>
      <c r="E19">
        <v>30</v>
      </c>
      <c r="F19" t="s">
        <v>21</v>
      </c>
      <c r="G19" t="s">
        <v>28</v>
      </c>
      <c r="H19" s="6" t="s">
        <v>83</v>
      </c>
      <c r="I19" s="11">
        <v>100377.65</v>
      </c>
      <c r="J19" t="s">
        <v>84</v>
      </c>
      <c r="K19">
        <v>-2639343625</v>
      </c>
      <c r="L19" t="s">
        <v>18</v>
      </c>
      <c r="M19" t="b">
        <v>1</v>
      </c>
      <c r="N19" s="17">
        <f t="shared" si="0"/>
        <v>45624</v>
      </c>
      <c r="O19" t="str">
        <f>LEFT(Table1[[#This Row],[Department_Region]], FIND("-", Table1[[#This Row],[Department_Region]]) - 1)</f>
        <v>Finance</v>
      </c>
      <c r="P19" t="str">
        <f>RIGHT(Table1[[#This Row],[Department_Region]],LEN(Table1[[#This Row],[Department_Region]]) - FIND("-",Table1[[#This Row],[Department_Region]]))</f>
        <v>Texas</v>
      </c>
      <c r="Q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9" s="15"/>
    </row>
    <row r="20" spans="1:18" x14ac:dyDescent="0.2">
      <c r="A20" s="1">
        <v>18</v>
      </c>
      <c r="B20" s="6" t="s">
        <v>85</v>
      </c>
      <c r="C20" t="s">
        <v>54</v>
      </c>
      <c r="D20" t="s">
        <v>43</v>
      </c>
      <c r="E20">
        <v>32</v>
      </c>
      <c r="F20" t="s">
        <v>86</v>
      </c>
      <c r="G20" t="s">
        <v>33</v>
      </c>
      <c r="H20" s="6" t="s">
        <v>87</v>
      </c>
      <c r="I20" s="11">
        <v>94726.46</v>
      </c>
      <c r="J20" t="s">
        <v>88</v>
      </c>
      <c r="K20">
        <v>-2044397358</v>
      </c>
      <c r="L20" t="s">
        <v>23</v>
      </c>
      <c r="M20" t="b">
        <v>0</v>
      </c>
      <c r="N20" s="17">
        <f t="shared" si="0"/>
        <v>45554</v>
      </c>
      <c r="O20" t="str">
        <f>LEFT(Table1[[#This Row],[Department_Region]], FIND("-", Table1[[#This Row],[Department_Region]]) - 1)</f>
        <v>Cloud Tech</v>
      </c>
      <c r="P20" t="str">
        <f>RIGHT(Table1[[#This Row],[Department_Region]],LEN(Table1[[#This Row],[Department_Region]]) - FIND("-",Table1[[#This Row],[Department_Region]]))</f>
        <v>Nevada</v>
      </c>
      <c r="Q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" s="15"/>
    </row>
    <row r="21" spans="1:18" x14ac:dyDescent="0.2">
      <c r="A21" s="1">
        <v>19</v>
      </c>
      <c r="B21" s="6" t="s">
        <v>89</v>
      </c>
      <c r="C21" t="s">
        <v>54</v>
      </c>
      <c r="D21" t="s">
        <v>38</v>
      </c>
      <c r="E21">
        <v>35</v>
      </c>
      <c r="F21" t="s">
        <v>90</v>
      </c>
      <c r="G21" t="s">
        <v>28</v>
      </c>
      <c r="H21" s="6" t="s">
        <v>1683</v>
      </c>
      <c r="I21" s="11">
        <v>91926.12</v>
      </c>
      <c r="J21" t="s">
        <v>91</v>
      </c>
      <c r="K21">
        <v>-7107256365</v>
      </c>
      <c r="L21" t="s">
        <v>18</v>
      </c>
      <c r="M21" t="b">
        <v>1</v>
      </c>
      <c r="N21" s="17">
        <f t="shared" si="0"/>
        <v>43832</v>
      </c>
      <c r="O21" t="str">
        <f>LEFT(Table1[[#This Row],[Department_Region]], FIND("-", Table1[[#This Row],[Department_Region]]) - 1)</f>
        <v>Admin</v>
      </c>
      <c r="P21" t="str">
        <f>RIGHT(Table1[[#This Row],[Department_Region]],LEN(Table1[[#This Row],[Department_Region]]) - FIND("-",Table1[[#This Row],[Department_Region]]))</f>
        <v>Illinois</v>
      </c>
      <c r="Q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1" s="15"/>
    </row>
    <row r="22" spans="1:18" x14ac:dyDescent="0.2">
      <c r="A22" s="1">
        <v>20</v>
      </c>
      <c r="B22" s="6" t="s">
        <v>92</v>
      </c>
      <c r="C22" t="s">
        <v>13</v>
      </c>
      <c r="D22" t="s">
        <v>93</v>
      </c>
      <c r="E22">
        <v>35</v>
      </c>
      <c r="F22" t="s">
        <v>66</v>
      </c>
      <c r="G22" t="s">
        <v>16</v>
      </c>
      <c r="H22" s="6" t="s">
        <v>1684</v>
      </c>
      <c r="I22" s="11">
        <v>111460.67</v>
      </c>
      <c r="J22" t="s">
        <v>94</v>
      </c>
      <c r="K22">
        <v>-9411800536</v>
      </c>
      <c r="L22" t="s">
        <v>23</v>
      </c>
      <c r="M22" t="b">
        <v>1</v>
      </c>
      <c r="N22" s="17">
        <f t="shared" si="0"/>
        <v>44324</v>
      </c>
      <c r="O22" t="str">
        <f>LEFT(Table1[[#This Row],[Department_Region]], FIND("-", Table1[[#This Row],[Department_Region]]) - 1)</f>
        <v>HR</v>
      </c>
      <c r="P22" t="str">
        <f>RIGHT(Table1[[#This Row],[Department_Region]],LEN(Table1[[#This Row],[Department_Region]]) - FIND("-",Table1[[#This Row],[Department_Region]]))</f>
        <v>New York</v>
      </c>
      <c r="Q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2" s="15"/>
    </row>
    <row r="23" spans="1:18" x14ac:dyDescent="0.2">
      <c r="A23" s="1">
        <v>21</v>
      </c>
      <c r="B23" s="6" t="s">
        <v>95</v>
      </c>
      <c r="C23" t="s">
        <v>13</v>
      </c>
      <c r="D23" t="s">
        <v>26</v>
      </c>
      <c r="E23">
        <v>40</v>
      </c>
      <c r="F23" t="s">
        <v>96</v>
      </c>
      <c r="G23" t="s">
        <v>16</v>
      </c>
      <c r="H23" s="6" t="s">
        <v>97</v>
      </c>
      <c r="I23" s="11">
        <v>96182.56</v>
      </c>
      <c r="J23" t="s">
        <v>50</v>
      </c>
      <c r="K23">
        <v>-5990048963</v>
      </c>
      <c r="L23" t="s">
        <v>30</v>
      </c>
      <c r="M23" t="b">
        <v>0</v>
      </c>
      <c r="N23" s="17">
        <f t="shared" si="0"/>
        <v>44093</v>
      </c>
      <c r="O23" t="str">
        <f>LEFT(Table1[[#This Row],[Department_Region]], FIND("-", Table1[[#This Row],[Department_Region]]) - 1)</f>
        <v>Cloud Tech</v>
      </c>
      <c r="P23" t="str">
        <f>RIGHT(Table1[[#This Row],[Department_Region]],LEN(Table1[[#This Row],[Department_Region]]) - FIND("-",Table1[[#This Row],[Department_Region]]))</f>
        <v>Illinois</v>
      </c>
      <c r="Q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3" s="15"/>
    </row>
    <row r="24" spans="1:18" x14ac:dyDescent="0.2">
      <c r="A24" s="1">
        <v>22</v>
      </c>
      <c r="B24" s="6" t="s">
        <v>98</v>
      </c>
      <c r="C24" t="s">
        <v>54</v>
      </c>
      <c r="D24" t="s">
        <v>55</v>
      </c>
      <c r="E24">
        <v>35</v>
      </c>
      <c r="F24" t="s">
        <v>99</v>
      </c>
      <c r="G24" t="s">
        <v>33</v>
      </c>
      <c r="H24" s="6" t="s">
        <v>1685</v>
      </c>
      <c r="I24" s="11">
        <v>115023.94</v>
      </c>
      <c r="J24" t="s">
        <v>57</v>
      </c>
      <c r="K24">
        <v>-6528092427</v>
      </c>
      <c r="L24" t="s">
        <v>18</v>
      </c>
      <c r="M24" t="b">
        <v>1</v>
      </c>
      <c r="N24" s="17">
        <f t="shared" si="0"/>
        <v>44264</v>
      </c>
      <c r="O24" t="str">
        <f>LEFT(Table1[[#This Row],[Department_Region]], FIND("-", Table1[[#This Row],[Department_Region]]) - 1)</f>
        <v>Sales</v>
      </c>
      <c r="P24" t="str">
        <f>RIGHT(Table1[[#This Row],[Department_Region]],LEN(Table1[[#This Row],[Department_Region]]) - FIND("-",Table1[[#This Row],[Department_Region]]))</f>
        <v>Illinois</v>
      </c>
      <c r="Q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4" s="15"/>
    </row>
    <row r="25" spans="1:18" x14ac:dyDescent="0.2">
      <c r="A25" s="1">
        <v>23</v>
      </c>
      <c r="B25" s="6" t="s">
        <v>100</v>
      </c>
      <c r="C25" t="s">
        <v>59</v>
      </c>
      <c r="D25" t="s">
        <v>43</v>
      </c>
      <c r="E25">
        <v>35</v>
      </c>
      <c r="F25" t="s">
        <v>101</v>
      </c>
      <c r="G25" t="s">
        <v>28</v>
      </c>
      <c r="H25" s="6" t="s">
        <v>1686</v>
      </c>
      <c r="I25" s="11">
        <v>80667.009999999995</v>
      </c>
      <c r="J25" t="s">
        <v>102</v>
      </c>
      <c r="K25">
        <v>-7572158623</v>
      </c>
      <c r="L25" t="s">
        <v>23</v>
      </c>
      <c r="M25" t="b">
        <v>0</v>
      </c>
      <c r="N25" s="17">
        <f t="shared" si="0"/>
        <v>44595</v>
      </c>
      <c r="O25" t="str">
        <f>LEFT(Table1[[#This Row],[Department_Region]], FIND("-", Table1[[#This Row],[Department_Region]]) - 1)</f>
        <v>Finance</v>
      </c>
      <c r="P25" t="str">
        <f>RIGHT(Table1[[#This Row],[Department_Region]],LEN(Table1[[#This Row],[Department_Region]]) - FIND("-",Table1[[#This Row],[Department_Region]]))</f>
        <v>Nevada</v>
      </c>
      <c r="Q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" s="15"/>
    </row>
    <row r="26" spans="1:18" x14ac:dyDescent="0.2">
      <c r="A26" s="1">
        <v>24</v>
      </c>
      <c r="B26" s="6" t="s">
        <v>103</v>
      </c>
      <c r="C26" t="s">
        <v>13</v>
      </c>
      <c r="D26" t="s">
        <v>20</v>
      </c>
      <c r="E26">
        <v>30</v>
      </c>
      <c r="F26" t="s">
        <v>104</v>
      </c>
      <c r="G26" t="s">
        <v>33</v>
      </c>
      <c r="H26" s="6" t="s">
        <v>105</v>
      </c>
      <c r="I26" s="11">
        <v>91181.61</v>
      </c>
      <c r="J26" t="s">
        <v>22</v>
      </c>
      <c r="K26">
        <v>-1502745643</v>
      </c>
      <c r="L26" t="s">
        <v>30</v>
      </c>
      <c r="M26" t="b">
        <v>1</v>
      </c>
      <c r="N26" s="17">
        <f t="shared" si="0"/>
        <v>43874</v>
      </c>
      <c r="O26" t="str">
        <f>LEFT(Table1[[#This Row],[Department_Region]], FIND("-", Table1[[#This Row],[Department_Region]]) - 1)</f>
        <v>Admin</v>
      </c>
      <c r="P26" t="str">
        <f>RIGHT(Table1[[#This Row],[Department_Region]],LEN(Table1[[#This Row],[Department_Region]]) - FIND("-",Table1[[#This Row],[Department_Region]]))</f>
        <v>Texas</v>
      </c>
      <c r="Q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6" s="15"/>
    </row>
    <row r="27" spans="1:18" x14ac:dyDescent="0.2">
      <c r="A27" s="1">
        <v>25</v>
      </c>
      <c r="B27" s="6" t="s">
        <v>106</v>
      </c>
      <c r="C27" t="s">
        <v>59</v>
      </c>
      <c r="D27" t="s">
        <v>93</v>
      </c>
      <c r="E27">
        <v>25</v>
      </c>
      <c r="F27" t="s">
        <v>86</v>
      </c>
      <c r="G27" t="s">
        <v>28</v>
      </c>
      <c r="H27" s="6" t="s">
        <v>107</v>
      </c>
      <c r="I27" s="11">
        <v>66025.919999999998</v>
      </c>
      <c r="J27" t="s">
        <v>108</v>
      </c>
      <c r="K27">
        <v>-9485625727</v>
      </c>
      <c r="L27" t="s">
        <v>18</v>
      </c>
      <c r="M27" t="b">
        <v>0</v>
      </c>
      <c r="N27" s="17">
        <f t="shared" si="0"/>
        <v>43951</v>
      </c>
      <c r="O27" t="str">
        <f>LEFT(Table1[[#This Row],[Department_Region]], FIND("-", Table1[[#This Row],[Department_Region]]) - 1)</f>
        <v>Cloud Tech</v>
      </c>
      <c r="P27" t="str">
        <f>RIGHT(Table1[[#This Row],[Department_Region]],LEN(Table1[[#This Row],[Department_Region]]) - FIND("-",Table1[[#This Row],[Department_Region]]))</f>
        <v>Nevada</v>
      </c>
      <c r="Q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7" s="15"/>
    </row>
    <row r="28" spans="1:18" x14ac:dyDescent="0.2">
      <c r="A28" s="1">
        <v>26</v>
      </c>
      <c r="B28" s="6" t="s">
        <v>109</v>
      </c>
      <c r="C28" t="s">
        <v>37</v>
      </c>
      <c r="D28" t="s">
        <v>93</v>
      </c>
      <c r="E28">
        <v>25</v>
      </c>
      <c r="F28" t="s">
        <v>110</v>
      </c>
      <c r="G28" t="s">
        <v>33</v>
      </c>
      <c r="H28" s="6" t="s">
        <v>1687</v>
      </c>
      <c r="I28" s="11">
        <v>83979.01</v>
      </c>
      <c r="J28" t="s">
        <v>111</v>
      </c>
      <c r="K28">
        <v>-7032032073</v>
      </c>
      <c r="L28" t="s">
        <v>18</v>
      </c>
      <c r="M28" t="b">
        <v>0</v>
      </c>
      <c r="N28" s="17">
        <f t="shared" si="0"/>
        <v>45201</v>
      </c>
      <c r="O28" t="str">
        <f>LEFT(Table1[[#This Row],[Department_Region]], FIND("-", Table1[[#This Row],[Department_Region]]) - 1)</f>
        <v>Sales</v>
      </c>
      <c r="P28" t="str">
        <f>RIGHT(Table1[[#This Row],[Department_Region]],LEN(Table1[[#This Row],[Department_Region]]) - FIND("-",Table1[[#This Row],[Department_Region]]))</f>
        <v>New York</v>
      </c>
      <c r="Q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8" s="15"/>
    </row>
    <row r="29" spans="1:18" x14ac:dyDescent="0.2">
      <c r="A29" s="1">
        <v>27</v>
      </c>
      <c r="B29" s="6" t="s">
        <v>112</v>
      </c>
      <c r="C29" t="s">
        <v>65</v>
      </c>
      <c r="D29" t="s">
        <v>55</v>
      </c>
      <c r="E29">
        <v>30</v>
      </c>
      <c r="F29" t="s">
        <v>113</v>
      </c>
      <c r="G29" t="s">
        <v>16</v>
      </c>
      <c r="H29" s="6" t="s">
        <v>1688</v>
      </c>
      <c r="I29" s="11">
        <v>56785.16</v>
      </c>
      <c r="J29" t="s">
        <v>114</v>
      </c>
      <c r="K29">
        <v>-2761707586</v>
      </c>
      <c r="L29" t="s">
        <v>23</v>
      </c>
      <c r="M29" t="b">
        <v>1</v>
      </c>
      <c r="N29" s="17">
        <f t="shared" si="0"/>
        <v>44024</v>
      </c>
      <c r="O29" t="str">
        <f>LEFT(Table1[[#This Row],[Department_Region]], FIND("-", Table1[[#This Row],[Department_Region]]) - 1)</f>
        <v>Finance</v>
      </c>
      <c r="P29" t="str">
        <f>RIGHT(Table1[[#This Row],[Department_Region]],LEN(Table1[[#This Row],[Department_Region]]) - FIND("-",Table1[[#This Row],[Department_Region]]))</f>
        <v>Florida</v>
      </c>
      <c r="Q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9" s="15"/>
    </row>
    <row r="30" spans="1:18" x14ac:dyDescent="0.2">
      <c r="A30" s="1">
        <v>28</v>
      </c>
      <c r="B30" s="6" t="s">
        <v>115</v>
      </c>
      <c r="C30" t="s">
        <v>69</v>
      </c>
      <c r="D30" t="s">
        <v>43</v>
      </c>
      <c r="E30">
        <v>40</v>
      </c>
      <c r="F30" t="s">
        <v>101</v>
      </c>
      <c r="G30" t="s">
        <v>16</v>
      </c>
      <c r="H30" s="6" t="s">
        <v>116</v>
      </c>
      <c r="I30" s="11">
        <v>95741.88</v>
      </c>
      <c r="J30" t="s">
        <v>84</v>
      </c>
      <c r="K30">
        <v>-7712151341</v>
      </c>
      <c r="L30" t="s">
        <v>23</v>
      </c>
      <c r="M30" t="b">
        <v>0</v>
      </c>
      <c r="N30" s="17">
        <f t="shared" si="0"/>
        <v>45210</v>
      </c>
      <c r="O30" t="str">
        <f>LEFT(Table1[[#This Row],[Department_Region]], FIND("-", Table1[[#This Row],[Department_Region]]) - 1)</f>
        <v>Finance</v>
      </c>
      <c r="P30" t="str">
        <f>RIGHT(Table1[[#This Row],[Department_Region]],LEN(Table1[[#This Row],[Department_Region]]) - FIND("-",Table1[[#This Row],[Department_Region]]))</f>
        <v>Nevada</v>
      </c>
      <c r="Q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" s="15"/>
    </row>
    <row r="31" spans="1:18" x14ac:dyDescent="0.2">
      <c r="A31" s="1">
        <v>29</v>
      </c>
      <c r="B31" s="6" t="s">
        <v>117</v>
      </c>
      <c r="C31" t="s">
        <v>25</v>
      </c>
      <c r="D31" t="s">
        <v>20</v>
      </c>
      <c r="E31">
        <v>40</v>
      </c>
      <c r="F31" t="s">
        <v>15</v>
      </c>
      <c r="G31" t="s">
        <v>16</v>
      </c>
      <c r="H31" s="6" t="s">
        <v>118</v>
      </c>
      <c r="I31" s="11">
        <v>63411.31</v>
      </c>
      <c r="J31" t="s">
        <v>81</v>
      </c>
      <c r="K31">
        <v>-2849939088</v>
      </c>
      <c r="L31" t="s">
        <v>23</v>
      </c>
      <c r="M31" t="b">
        <v>1</v>
      </c>
      <c r="N31" s="17">
        <f t="shared" si="0"/>
        <v>44340</v>
      </c>
      <c r="O31" t="str">
        <f>LEFT(Table1[[#This Row],[Department_Region]], FIND("-", Table1[[#This Row],[Department_Region]]) - 1)</f>
        <v>DevOps</v>
      </c>
      <c r="P31" t="str">
        <f>RIGHT(Table1[[#This Row],[Department_Region]],LEN(Table1[[#This Row],[Department_Region]]) - FIND("-",Table1[[#This Row],[Department_Region]]))</f>
        <v>California</v>
      </c>
      <c r="Q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1" s="15"/>
    </row>
    <row r="32" spans="1:18" x14ac:dyDescent="0.2">
      <c r="A32" s="1">
        <v>30</v>
      </c>
      <c r="B32" s="6" t="s">
        <v>119</v>
      </c>
      <c r="C32" t="s">
        <v>54</v>
      </c>
      <c r="D32" t="s">
        <v>26</v>
      </c>
      <c r="E32">
        <v>40</v>
      </c>
      <c r="F32" t="s">
        <v>120</v>
      </c>
      <c r="G32" t="s">
        <v>33</v>
      </c>
      <c r="H32" s="6" t="s">
        <v>121</v>
      </c>
      <c r="I32" s="11">
        <v>111214.02</v>
      </c>
      <c r="J32" t="s">
        <v>122</v>
      </c>
      <c r="K32">
        <v>-2613715040</v>
      </c>
      <c r="L32" t="s">
        <v>30</v>
      </c>
      <c r="M32" t="b">
        <v>1</v>
      </c>
      <c r="N32" s="17">
        <f t="shared" si="0"/>
        <v>44342</v>
      </c>
      <c r="O32" t="str">
        <f>LEFT(Table1[[#This Row],[Department_Region]], FIND("-", Table1[[#This Row],[Department_Region]]) - 1)</f>
        <v>Admin</v>
      </c>
      <c r="P32" t="str">
        <f>RIGHT(Table1[[#This Row],[Department_Region]],LEN(Table1[[#This Row],[Department_Region]]) - FIND("-",Table1[[#This Row],[Department_Region]]))</f>
        <v>California</v>
      </c>
      <c r="Q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2" s="15"/>
    </row>
    <row r="33" spans="1:18" x14ac:dyDescent="0.2">
      <c r="A33" s="1">
        <v>31</v>
      </c>
      <c r="B33" s="6" t="s">
        <v>123</v>
      </c>
      <c r="C33" t="s">
        <v>13</v>
      </c>
      <c r="D33" t="s">
        <v>124</v>
      </c>
      <c r="E33">
        <v>25</v>
      </c>
      <c r="F33" t="s">
        <v>79</v>
      </c>
      <c r="G33" t="s">
        <v>16</v>
      </c>
      <c r="H33" s="6" t="s">
        <v>1672</v>
      </c>
      <c r="I33" s="11">
        <v>114845.69</v>
      </c>
      <c r="J33" t="s">
        <v>125</v>
      </c>
      <c r="K33">
        <v>-6591520176</v>
      </c>
      <c r="L33" t="s">
        <v>23</v>
      </c>
      <c r="M33" t="b">
        <v>1</v>
      </c>
      <c r="N33" s="17">
        <f t="shared" si="0"/>
        <v>44022</v>
      </c>
      <c r="O33" t="str">
        <f>LEFT(Table1[[#This Row],[Department_Region]], FIND("-", Table1[[#This Row],[Department_Region]]) - 1)</f>
        <v>DevOps</v>
      </c>
      <c r="P33" t="str">
        <f>RIGHT(Table1[[#This Row],[Department_Region]],LEN(Table1[[#This Row],[Department_Region]]) - FIND("-",Table1[[#This Row],[Department_Region]]))</f>
        <v>Illinois</v>
      </c>
      <c r="Q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" s="15"/>
    </row>
    <row r="34" spans="1:18" x14ac:dyDescent="0.2">
      <c r="A34" s="1">
        <v>32</v>
      </c>
      <c r="B34" s="6" t="s">
        <v>126</v>
      </c>
      <c r="C34" t="s">
        <v>54</v>
      </c>
      <c r="D34" t="s">
        <v>20</v>
      </c>
      <c r="E34">
        <v>40</v>
      </c>
      <c r="F34" t="s">
        <v>113</v>
      </c>
      <c r="G34" t="s">
        <v>16</v>
      </c>
      <c r="H34" s="6" t="s">
        <v>1689</v>
      </c>
      <c r="I34" s="11">
        <v>78072.820000000007</v>
      </c>
      <c r="J34" t="s">
        <v>127</v>
      </c>
      <c r="K34">
        <v>-7490509758</v>
      </c>
      <c r="L34" t="s">
        <v>18</v>
      </c>
      <c r="M34" t="b">
        <v>0</v>
      </c>
      <c r="N34" s="17">
        <f t="shared" si="0"/>
        <v>45601</v>
      </c>
      <c r="O34" t="str">
        <f>LEFT(Table1[[#This Row],[Department_Region]], FIND("-", Table1[[#This Row],[Department_Region]]) - 1)</f>
        <v>Finance</v>
      </c>
      <c r="P34" t="str">
        <f>RIGHT(Table1[[#This Row],[Department_Region]],LEN(Table1[[#This Row],[Department_Region]]) - FIND("-",Table1[[#This Row],[Department_Region]]))</f>
        <v>Florida</v>
      </c>
      <c r="Q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" s="15"/>
    </row>
    <row r="35" spans="1:18" x14ac:dyDescent="0.2">
      <c r="A35" s="1">
        <v>33</v>
      </c>
      <c r="B35" s="6" t="s">
        <v>128</v>
      </c>
      <c r="C35" t="s">
        <v>69</v>
      </c>
      <c r="D35" t="s">
        <v>55</v>
      </c>
      <c r="E35">
        <v>25</v>
      </c>
      <c r="F35" t="s">
        <v>70</v>
      </c>
      <c r="G35" t="s">
        <v>33</v>
      </c>
      <c r="H35" s="6" t="s">
        <v>1690</v>
      </c>
      <c r="I35" s="11">
        <v>79610.52</v>
      </c>
      <c r="J35" t="s">
        <v>129</v>
      </c>
      <c r="K35">
        <v>-2304501895</v>
      </c>
      <c r="L35" t="s">
        <v>18</v>
      </c>
      <c r="M35" t="b">
        <v>0</v>
      </c>
      <c r="N35" s="17">
        <f t="shared" si="0"/>
        <v>44415</v>
      </c>
      <c r="O35" t="str">
        <f>LEFT(Table1[[#This Row],[Department_Region]], FIND("-", Table1[[#This Row],[Department_Region]]) - 1)</f>
        <v>Finance</v>
      </c>
      <c r="P35" t="str">
        <f>RIGHT(Table1[[#This Row],[Department_Region]],LEN(Table1[[#This Row],[Department_Region]]) - FIND("-",Table1[[#This Row],[Department_Region]]))</f>
        <v>California</v>
      </c>
      <c r="Q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" s="15"/>
    </row>
    <row r="36" spans="1:18" x14ac:dyDescent="0.2">
      <c r="A36" s="1">
        <v>34</v>
      </c>
      <c r="B36" s="6" t="s">
        <v>130</v>
      </c>
      <c r="C36" t="s">
        <v>65</v>
      </c>
      <c r="D36" t="s">
        <v>93</v>
      </c>
      <c r="E36">
        <v>30</v>
      </c>
      <c r="F36" t="s">
        <v>120</v>
      </c>
      <c r="G36" t="s">
        <v>16</v>
      </c>
      <c r="H36" s="6" t="s">
        <v>131</v>
      </c>
      <c r="I36" s="11">
        <v>90542.62</v>
      </c>
      <c r="J36" t="s">
        <v>132</v>
      </c>
      <c r="K36">
        <v>-1642361031</v>
      </c>
      <c r="L36" t="s">
        <v>23</v>
      </c>
      <c r="M36" t="b">
        <v>1</v>
      </c>
      <c r="N36" s="17">
        <f t="shared" si="0"/>
        <v>43950</v>
      </c>
      <c r="O36" t="str">
        <f>LEFT(Table1[[#This Row],[Department_Region]], FIND("-", Table1[[#This Row],[Department_Region]]) - 1)</f>
        <v>Admin</v>
      </c>
      <c r="P36" t="str">
        <f>RIGHT(Table1[[#This Row],[Department_Region]],LEN(Table1[[#This Row],[Department_Region]]) - FIND("-",Table1[[#This Row],[Department_Region]]))</f>
        <v>California</v>
      </c>
      <c r="Q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6" s="15"/>
    </row>
    <row r="37" spans="1:18" x14ac:dyDescent="0.2">
      <c r="A37" s="1">
        <v>35</v>
      </c>
      <c r="B37" s="6" t="s">
        <v>133</v>
      </c>
      <c r="C37" t="s">
        <v>37</v>
      </c>
      <c r="D37" t="s">
        <v>26</v>
      </c>
      <c r="E37">
        <v>25</v>
      </c>
      <c r="F37" t="s">
        <v>96</v>
      </c>
      <c r="G37" t="s">
        <v>33</v>
      </c>
      <c r="H37" s="6" t="s">
        <v>134</v>
      </c>
      <c r="I37" s="11">
        <v>114357.1</v>
      </c>
      <c r="J37" t="s">
        <v>47</v>
      </c>
      <c r="K37">
        <v>-6642147648</v>
      </c>
      <c r="L37" t="s">
        <v>23</v>
      </c>
      <c r="M37" t="b">
        <v>1</v>
      </c>
      <c r="N37" s="17">
        <f t="shared" si="0"/>
        <v>44860</v>
      </c>
      <c r="O37" t="str">
        <f>LEFT(Table1[[#This Row],[Department_Region]], FIND("-", Table1[[#This Row],[Department_Region]]) - 1)</f>
        <v>Cloud Tech</v>
      </c>
      <c r="P37" t="str">
        <f>RIGHT(Table1[[#This Row],[Department_Region]],LEN(Table1[[#This Row],[Department_Region]]) - FIND("-",Table1[[#This Row],[Department_Region]]))</f>
        <v>Illinois</v>
      </c>
      <c r="Q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" s="15"/>
    </row>
    <row r="38" spans="1:18" x14ac:dyDescent="0.2">
      <c r="A38" s="1">
        <v>36</v>
      </c>
      <c r="B38" s="6" t="s">
        <v>135</v>
      </c>
      <c r="C38" t="s">
        <v>25</v>
      </c>
      <c r="D38" t="s">
        <v>20</v>
      </c>
      <c r="E38">
        <v>32</v>
      </c>
      <c r="F38" t="s">
        <v>60</v>
      </c>
      <c r="G38" t="s">
        <v>16</v>
      </c>
      <c r="H38" s="6" t="s">
        <v>1691</v>
      </c>
      <c r="I38" s="11">
        <v>54757.26</v>
      </c>
      <c r="J38" t="s">
        <v>81</v>
      </c>
      <c r="K38">
        <v>-2515837766</v>
      </c>
      <c r="L38" t="s">
        <v>41</v>
      </c>
      <c r="M38" t="b">
        <v>0</v>
      </c>
      <c r="N38" s="17">
        <f t="shared" si="0"/>
        <v>45049</v>
      </c>
      <c r="O38" t="str">
        <f>LEFT(Table1[[#This Row],[Department_Region]], FIND("-", Table1[[#This Row],[Department_Region]]) - 1)</f>
        <v>Cloud Tech</v>
      </c>
      <c r="P38" t="str">
        <f>RIGHT(Table1[[#This Row],[Department_Region]],LEN(Table1[[#This Row],[Department_Region]]) - FIND("-",Table1[[#This Row],[Department_Region]]))</f>
        <v>New York</v>
      </c>
      <c r="Q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8" s="15"/>
    </row>
    <row r="39" spans="1:18" x14ac:dyDescent="0.2">
      <c r="A39" s="1">
        <v>37</v>
      </c>
      <c r="B39" s="6" t="s">
        <v>136</v>
      </c>
      <c r="C39" t="s">
        <v>69</v>
      </c>
      <c r="D39" t="s">
        <v>124</v>
      </c>
      <c r="E39">
        <v>25</v>
      </c>
      <c r="F39" t="s">
        <v>110</v>
      </c>
      <c r="G39" t="s">
        <v>28</v>
      </c>
      <c r="H39" s="6" t="s">
        <v>1692</v>
      </c>
      <c r="I39" s="11">
        <v>52781.919999999998</v>
      </c>
      <c r="J39" t="s">
        <v>137</v>
      </c>
      <c r="K39">
        <v>-4996165925</v>
      </c>
      <c r="L39" t="s">
        <v>18</v>
      </c>
      <c r="M39" t="b">
        <v>1</v>
      </c>
      <c r="N39" s="17">
        <f t="shared" si="0"/>
        <v>45048</v>
      </c>
      <c r="O39" t="str">
        <f>LEFT(Table1[[#This Row],[Department_Region]], FIND("-", Table1[[#This Row],[Department_Region]]) - 1)</f>
        <v>Sales</v>
      </c>
      <c r="P39" t="str">
        <f>RIGHT(Table1[[#This Row],[Department_Region]],LEN(Table1[[#This Row],[Department_Region]]) - FIND("-",Table1[[#This Row],[Department_Region]]))</f>
        <v>New York</v>
      </c>
      <c r="Q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9" s="15"/>
    </row>
    <row r="40" spans="1:18" x14ac:dyDescent="0.2">
      <c r="A40" s="1">
        <v>38</v>
      </c>
      <c r="B40" s="6" t="s">
        <v>138</v>
      </c>
      <c r="C40" t="s">
        <v>37</v>
      </c>
      <c r="D40" t="s">
        <v>124</v>
      </c>
      <c r="E40">
        <v>35</v>
      </c>
      <c r="F40" t="s">
        <v>27</v>
      </c>
      <c r="G40" t="s">
        <v>28</v>
      </c>
      <c r="H40" s="6" t="s">
        <v>1693</v>
      </c>
      <c r="I40" s="11">
        <v>66708.02</v>
      </c>
      <c r="J40" t="s">
        <v>139</v>
      </c>
      <c r="K40">
        <v>-6108573277</v>
      </c>
      <c r="L40" t="s">
        <v>30</v>
      </c>
      <c r="M40" t="b">
        <v>1</v>
      </c>
      <c r="N40" s="17">
        <f t="shared" si="0"/>
        <v>44474</v>
      </c>
      <c r="O40" t="str">
        <f>LEFT(Table1[[#This Row],[Department_Region]], FIND("-", Table1[[#This Row],[Department_Region]]) - 1)</f>
        <v>Admin</v>
      </c>
      <c r="P40" t="str">
        <f>RIGHT(Table1[[#This Row],[Department_Region]],LEN(Table1[[#This Row],[Department_Region]]) - FIND("-",Table1[[#This Row],[Department_Region]]))</f>
        <v>Nevada</v>
      </c>
      <c r="Q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" s="15"/>
    </row>
    <row r="41" spans="1:18" x14ac:dyDescent="0.2">
      <c r="A41" s="1">
        <v>39</v>
      </c>
      <c r="B41" s="6" t="s">
        <v>140</v>
      </c>
      <c r="C41" t="s">
        <v>32</v>
      </c>
      <c r="D41" t="s">
        <v>38</v>
      </c>
      <c r="E41">
        <v>40</v>
      </c>
      <c r="F41" t="s">
        <v>141</v>
      </c>
      <c r="G41" t="s">
        <v>16</v>
      </c>
      <c r="H41" s="6" t="s">
        <v>142</v>
      </c>
      <c r="I41" s="11">
        <v>93481.15</v>
      </c>
      <c r="J41" t="s">
        <v>143</v>
      </c>
      <c r="K41">
        <v>-8147617421</v>
      </c>
      <c r="L41" t="s">
        <v>41</v>
      </c>
      <c r="M41" t="b">
        <v>0</v>
      </c>
      <c r="N41" s="17">
        <f t="shared" si="0"/>
        <v>44769</v>
      </c>
      <c r="O41" t="str">
        <f>LEFT(Table1[[#This Row],[Department_Region]], FIND("-", Table1[[#This Row],[Department_Region]]) - 1)</f>
        <v>HR</v>
      </c>
      <c r="P41" t="str">
        <f>RIGHT(Table1[[#This Row],[Department_Region]],LEN(Table1[[#This Row],[Department_Region]]) - FIND("-",Table1[[#This Row],[Department_Region]]))</f>
        <v>Texas</v>
      </c>
      <c r="Q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1" s="15"/>
    </row>
    <row r="42" spans="1:18" x14ac:dyDescent="0.2">
      <c r="A42" s="1">
        <v>40</v>
      </c>
      <c r="B42" s="6" t="s">
        <v>144</v>
      </c>
      <c r="C42" t="s">
        <v>13</v>
      </c>
      <c r="D42" t="s">
        <v>38</v>
      </c>
      <c r="E42">
        <v>25</v>
      </c>
      <c r="F42" t="s">
        <v>110</v>
      </c>
      <c r="G42" t="s">
        <v>28</v>
      </c>
      <c r="H42" s="6" t="s">
        <v>145</v>
      </c>
      <c r="I42" s="11">
        <v>59271.96</v>
      </c>
      <c r="J42" t="s">
        <v>146</v>
      </c>
      <c r="K42">
        <v>-4386490809</v>
      </c>
      <c r="L42" t="s">
        <v>23</v>
      </c>
      <c r="M42" t="b">
        <v>1</v>
      </c>
      <c r="N42" s="17">
        <f t="shared" si="0"/>
        <v>44374</v>
      </c>
      <c r="O42" t="str">
        <f>LEFT(Table1[[#This Row],[Department_Region]], FIND("-", Table1[[#This Row],[Department_Region]]) - 1)</f>
        <v>Sales</v>
      </c>
      <c r="P42" t="str">
        <f>RIGHT(Table1[[#This Row],[Department_Region]],LEN(Table1[[#This Row],[Department_Region]]) - FIND("-",Table1[[#This Row],[Department_Region]]))</f>
        <v>New York</v>
      </c>
      <c r="Q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" s="15"/>
    </row>
    <row r="43" spans="1:18" x14ac:dyDescent="0.2">
      <c r="A43" s="1">
        <v>41</v>
      </c>
      <c r="B43" s="6" t="s">
        <v>147</v>
      </c>
      <c r="C43" t="s">
        <v>13</v>
      </c>
      <c r="D43" t="s">
        <v>14</v>
      </c>
      <c r="E43">
        <v>30</v>
      </c>
      <c r="F43" t="s">
        <v>148</v>
      </c>
      <c r="G43" t="s">
        <v>16</v>
      </c>
      <c r="H43" s="6" t="s">
        <v>149</v>
      </c>
      <c r="I43" s="11">
        <v>108362.15</v>
      </c>
      <c r="J43" t="s">
        <v>17</v>
      </c>
      <c r="K43">
        <v>-8186617944</v>
      </c>
      <c r="L43" t="s">
        <v>23</v>
      </c>
      <c r="M43" t="b">
        <v>0</v>
      </c>
      <c r="N43" s="17">
        <f t="shared" si="0"/>
        <v>44728</v>
      </c>
      <c r="O43" t="str">
        <f>LEFT(Table1[[#This Row],[Department_Region]], FIND("-", Table1[[#This Row],[Department_Region]]) - 1)</f>
        <v>HR</v>
      </c>
      <c r="P43" t="str">
        <f>RIGHT(Table1[[#This Row],[Department_Region]],LEN(Table1[[#This Row],[Department_Region]]) - FIND("-",Table1[[#This Row],[Department_Region]]))</f>
        <v>California</v>
      </c>
      <c r="Q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3" s="15"/>
    </row>
    <row r="44" spans="1:18" x14ac:dyDescent="0.2">
      <c r="A44" s="1">
        <v>42</v>
      </c>
      <c r="B44" s="6" t="s">
        <v>150</v>
      </c>
      <c r="C44" t="s">
        <v>25</v>
      </c>
      <c r="D44" t="s">
        <v>55</v>
      </c>
      <c r="E44">
        <v>32</v>
      </c>
      <c r="F44" t="s">
        <v>151</v>
      </c>
      <c r="G44" t="s">
        <v>16</v>
      </c>
      <c r="H44" s="6" t="s">
        <v>1694</v>
      </c>
      <c r="I44" s="11">
        <v>59400.38</v>
      </c>
      <c r="J44" t="s">
        <v>152</v>
      </c>
      <c r="K44">
        <v>-4918017225</v>
      </c>
      <c r="L44" t="s">
        <v>18</v>
      </c>
      <c r="M44" t="b">
        <v>1</v>
      </c>
      <c r="N44" s="17">
        <f t="shared" si="0"/>
        <v>45629</v>
      </c>
      <c r="O44" t="str">
        <f>LEFT(Table1[[#This Row],[Department_Region]], FIND("-", Table1[[#This Row],[Department_Region]]) - 1)</f>
        <v>HR</v>
      </c>
      <c r="P44" t="str">
        <f>RIGHT(Table1[[#This Row],[Department_Region]],LEN(Table1[[#This Row],[Department_Region]]) - FIND("-",Table1[[#This Row],[Department_Region]]))</f>
        <v>Nevada</v>
      </c>
      <c r="Q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4" s="15"/>
    </row>
    <row r="45" spans="1:18" x14ac:dyDescent="0.2">
      <c r="A45" s="1">
        <v>43</v>
      </c>
      <c r="B45" s="6" t="s">
        <v>153</v>
      </c>
      <c r="C45" t="s">
        <v>13</v>
      </c>
      <c r="D45" t="s">
        <v>43</v>
      </c>
      <c r="E45">
        <v>32</v>
      </c>
      <c r="F45" t="s">
        <v>120</v>
      </c>
      <c r="G45" t="s">
        <v>33</v>
      </c>
      <c r="H45" s="6" t="s">
        <v>154</v>
      </c>
      <c r="I45" s="11">
        <v>64744.08</v>
      </c>
      <c r="J45" t="s">
        <v>155</v>
      </c>
      <c r="K45">
        <v>-164597793</v>
      </c>
      <c r="L45" t="s">
        <v>23</v>
      </c>
      <c r="M45" t="b">
        <v>0</v>
      </c>
      <c r="N45" s="17">
        <f t="shared" si="0"/>
        <v>45069</v>
      </c>
      <c r="O45" t="str">
        <f>LEFT(Table1[[#This Row],[Department_Region]], FIND("-", Table1[[#This Row],[Department_Region]]) - 1)</f>
        <v>Admin</v>
      </c>
      <c r="P45" t="str">
        <f>RIGHT(Table1[[#This Row],[Department_Region]],LEN(Table1[[#This Row],[Department_Region]]) - FIND("-",Table1[[#This Row],[Department_Region]]))</f>
        <v>California</v>
      </c>
      <c r="Q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5" s="15"/>
    </row>
    <row r="46" spans="1:18" x14ac:dyDescent="0.2">
      <c r="A46" s="1">
        <v>44</v>
      </c>
      <c r="B46" s="6" t="s">
        <v>156</v>
      </c>
      <c r="C46" t="s">
        <v>32</v>
      </c>
      <c r="D46" t="s">
        <v>20</v>
      </c>
      <c r="E46">
        <v>32</v>
      </c>
      <c r="F46" t="s">
        <v>70</v>
      </c>
      <c r="G46" t="s">
        <v>16</v>
      </c>
      <c r="H46" s="6" t="s">
        <v>1695</v>
      </c>
      <c r="I46" s="11">
        <v>94399.91</v>
      </c>
      <c r="J46" t="s">
        <v>157</v>
      </c>
      <c r="K46">
        <v>-5232194167</v>
      </c>
      <c r="L46" t="s">
        <v>30</v>
      </c>
      <c r="M46" t="b">
        <v>1</v>
      </c>
      <c r="N46" s="17">
        <f t="shared" si="0"/>
        <v>44020</v>
      </c>
      <c r="O46" t="str">
        <f>LEFT(Table1[[#This Row],[Department_Region]], FIND("-", Table1[[#This Row],[Department_Region]]) - 1)</f>
        <v>Finance</v>
      </c>
      <c r="P46" t="str">
        <f>RIGHT(Table1[[#This Row],[Department_Region]],LEN(Table1[[#This Row],[Department_Region]]) - FIND("-",Table1[[#This Row],[Department_Region]]))</f>
        <v>California</v>
      </c>
      <c r="Q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6" s="15"/>
    </row>
    <row r="47" spans="1:18" x14ac:dyDescent="0.2">
      <c r="A47" s="1">
        <v>45</v>
      </c>
      <c r="B47" s="6" t="s">
        <v>158</v>
      </c>
      <c r="C47" t="s">
        <v>25</v>
      </c>
      <c r="D47" t="s">
        <v>20</v>
      </c>
      <c r="E47">
        <v>25</v>
      </c>
      <c r="F47" t="s">
        <v>66</v>
      </c>
      <c r="G47" t="s">
        <v>28</v>
      </c>
      <c r="H47" s="6" t="s">
        <v>159</v>
      </c>
      <c r="I47" s="11">
        <v>61310.74</v>
      </c>
      <c r="J47" t="s">
        <v>81</v>
      </c>
      <c r="K47">
        <v>-61027768</v>
      </c>
      <c r="L47" t="s">
        <v>18</v>
      </c>
      <c r="M47" t="b">
        <v>1</v>
      </c>
      <c r="N47" s="17">
        <f t="shared" si="0"/>
        <v>44367</v>
      </c>
      <c r="O47" t="str">
        <f>LEFT(Table1[[#This Row],[Department_Region]], FIND("-", Table1[[#This Row],[Department_Region]]) - 1)</f>
        <v>HR</v>
      </c>
      <c r="P47" t="str">
        <f>RIGHT(Table1[[#This Row],[Department_Region]],LEN(Table1[[#This Row],[Department_Region]]) - FIND("-",Table1[[#This Row],[Department_Region]]))</f>
        <v>New York</v>
      </c>
      <c r="Q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" s="15"/>
    </row>
    <row r="48" spans="1:18" x14ac:dyDescent="0.2">
      <c r="A48" s="1">
        <v>46</v>
      </c>
      <c r="B48" s="6" t="s">
        <v>160</v>
      </c>
      <c r="C48" t="s">
        <v>69</v>
      </c>
      <c r="D48" t="s">
        <v>43</v>
      </c>
      <c r="E48">
        <v>32</v>
      </c>
      <c r="F48" t="s">
        <v>161</v>
      </c>
      <c r="G48" t="s">
        <v>16</v>
      </c>
      <c r="H48" s="6" t="s">
        <v>162</v>
      </c>
      <c r="I48" s="11">
        <v>98371.37</v>
      </c>
      <c r="J48" t="s">
        <v>84</v>
      </c>
      <c r="K48">
        <v>-7499564121</v>
      </c>
      <c r="L48" t="s">
        <v>23</v>
      </c>
      <c r="M48" t="b">
        <v>0</v>
      </c>
      <c r="N48" s="17">
        <f t="shared" si="0"/>
        <v>45639</v>
      </c>
      <c r="O48" t="str">
        <f>LEFT(Table1[[#This Row],[Department_Region]], FIND("-", Table1[[#This Row],[Department_Region]]) - 1)</f>
        <v>Cloud Tech</v>
      </c>
      <c r="P48" t="str">
        <f>RIGHT(Table1[[#This Row],[Department_Region]],LEN(Table1[[#This Row],[Department_Region]]) - FIND("-",Table1[[#This Row],[Department_Region]]))</f>
        <v>Texas</v>
      </c>
      <c r="Q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" s="15"/>
    </row>
    <row r="49" spans="1:18" x14ac:dyDescent="0.2">
      <c r="A49" s="1">
        <v>47</v>
      </c>
      <c r="B49" s="6" t="s">
        <v>163</v>
      </c>
      <c r="C49" t="s">
        <v>25</v>
      </c>
      <c r="D49" t="s">
        <v>14</v>
      </c>
      <c r="E49">
        <v>35</v>
      </c>
      <c r="F49" t="s">
        <v>99</v>
      </c>
      <c r="G49" t="s">
        <v>16</v>
      </c>
      <c r="H49" s="6" t="s">
        <v>164</v>
      </c>
      <c r="I49" s="11">
        <v>58921.19</v>
      </c>
      <c r="J49" t="s">
        <v>165</v>
      </c>
      <c r="K49">
        <v>-310303722</v>
      </c>
      <c r="L49" t="s">
        <v>18</v>
      </c>
      <c r="M49" t="b">
        <v>1</v>
      </c>
      <c r="N49" s="17">
        <f t="shared" si="0"/>
        <v>44711</v>
      </c>
      <c r="O49" t="str">
        <f>LEFT(Table1[[#This Row],[Department_Region]], FIND("-", Table1[[#This Row],[Department_Region]]) - 1)</f>
        <v>Sales</v>
      </c>
      <c r="P49" t="str">
        <f>RIGHT(Table1[[#This Row],[Department_Region]],LEN(Table1[[#This Row],[Department_Region]]) - FIND("-",Table1[[#This Row],[Department_Region]]))</f>
        <v>Illinois</v>
      </c>
      <c r="Q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" s="15"/>
    </row>
    <row r="50" spans="1:18" x14ac:dyDescent="0.2">
      <c r="A50" s="1">
        <v>48</v>
      </c>
      <c r="B50" s="6" t="s">
        <v>166</v>
      </c>
      <c r="C50" t="s">
        <v>25</v>
      </c>
      <c r="D50" t="s">
        <v>93</v>
      </c>
      <c r="E50">
        <v>35</v>
      </c>
      <c r="F50" t="s">
        <v>27</v>
      </c>
      <c r="G50" t="s">
        <v>16</v>
      </c>
      <c r="H50" s="6" t="s">
        <v>167</v>
      </c>
      <c r="I50" s="11">
        <v>57195.55</v>
      </c>
      <c r="J50" t="s">
        <v>168</v>
      </c>
      <c r="K50">
        <v>-6831472759</v>
      </c>
      <c r="L50" t="s">
        <v>23</v>
      </c>
      <c r="M50" t="b">
        <v>0</v>
      </c>
      <c r="N50" s="17">
        <f t="shared" si="0"/>
        <v>45196</v>
      </c>
      <c r="O50" t="str">
        <f>LEFT(Table1[[#This Row],[Department_Region]], FIND("-", Table1[[#This Row],[Department_Region]]) - 1)</f>
        <v>Admin</v>
      </c>
      <c r="P50" t="str">
        <f>RIGHT(Table1[[#This Row],[Department_Region]],LEN(Table1[[#This Row],[Department_Region]]) - FIND("-",Table1[[#This Row],[Department_Region]]))</f>
        <v>Nevada</v>
      </c>
      <c r="Q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0" s="15"/>
    </row>
    <row r="51" spans="1:18" x14ac:dyDescent="0.2">
      <c r="A51" s="1">
        <v>49</v>
      </c>
      <c r="B51" s="6" t="s">
        <v>169</v>
      </c>
      <c r="C51" t="s">
        <v>69</v>
      </c>
      <c r="D51" t="s">
        <v>93</v>
      </c>
      <c r="E51">
        <v>32</v>
      </c>
      <c r="F51" t="s">
        <v>56</v>
      </c>
      <c r="G51" t="s">
        <v>16</v>
      </c>
      <c r="H51" s="6" t="s">
        <v>1689</v>
      </c>
      <c r="I51" s="11">
        <v>61375.12</v>
      </c>
      <c r="J51" t="s">
        <v>170</v>
      </c>
      <c r="K51">
        <v>-1227770792</v>
      </c>
      <c r="L51" t="s">
        <v>23</v>
      </c>
      <c r="M51" t="b">
        <v>1</v>
      </c>
      <c r="N51" s="17">
        <f t="shared" si="0"/>
        <v>45601</v>
      </c>
      <c r="O51" t="str">
        <f>LEFT(Table1[[#This Row],[Department_Region]], FIND("-", Table1[[#This Row],[Department_Region]]) - 1)</f>
        <v>DevOps</v>
      </c>
      <c r="P51" t="str">
        <f>RIGHT(Table1[[#This Row],[Department_Region]],LEN(Table1[[#This Row],[Department_Region]]) - FIND("-",Table1[[#This Row],[Department_Region]]))</f>
        <v>New York</v>
      </c>
      <c r="Q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1" s="15"/>
    </row>
    <row r="52" spans="1:18" x14ac:dyDescent="0.2">
      <c r="A52" s="1">
        <v>50</v>
      </c>
      <c r="B52" s="6" t="s">
        <v>171</v>
      </c>
      <c r="C52" t="s">
        <v>54</v>
      </c>
      <c r="D52" t="s">
        <v>14</v>
      </c>
      <c r="E52">
        <v>40</v>
      </c>
      <c r="F52" t="s">
        <v>60</v>
      </c>
      <c r="G52" t="s">
        <v>28</v>
      </c>
      <c r="H52" s="6" t="s">
        <v>172</v>
      </c>
      <c r="I52" s="11">
        <v>104767.05</v>
      </c>
      <c r="J52" t="s">
        <v>173</v>
      </c>
      <c r="K52">
        <v>-3496050165</v>
      </c>
      <c r="L52" t="s">
        <v>23</v>
      </c>
      <c r="M52" t="b">
        <v>0</v>
      </c>
      <c r="N52" s="17">
        <f t="shared" si="0"/>
        <v>44511</v>
      </c>
      <c r="O52" t="str">
        <f>LEFT(Table1[[#This Row],[Department_Region]], FIND("-", Table1[[#This Row],[Department_Region]]) - 1)</f>
        <v>Cloud Tech</v>
      </c>
      <c r="P52" t="str">
        <f>RIGHT(Table1[[#This Row],[Department_Region]],LEN(Table1[[#This Row],[Department_Region]]) - FIND("-",Table1[[#This Row],[Department_Region]]))</f>
        <v>New York</v>
      </c>
      <c r="Q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2" s="15"/>
    </row>
    <row r="53" spans="1:18" x14ac:dyDescent="0.2">
      <c r="A53" s="1">
        <v>51</v>
      </c>
      <c r="B53" s="6" t="s">
        <v>174</v>
      </c>
      <c r="C53" t="s">
        <v>59</v>
      </c>
      <c r="D53" t="s">
        <v>93</v>
      </c>
      <c r="E53">
        <v>35</v>
      </c>
      <c r="F53" t="s">
        <v>27</v>
      </c>
      <c r="G53" t="s">
        <v>16</v>
      </c>
      <c r="H53" s="6" t="s">
        <v>175</v>
      </c>
      <c r="I53" s="11">
        <v>111051.67</v>
      </c>
      <c r="J53" t="s">
        <v>108</v>
      </c>
      <c r="K53">
        <v>-7998407677</v>
      </c>
      <c r="L53" t="s">
        <v>30</v>
      </c>
      <c r="M53" t="b">
        <v>0</v>
      </c>
      <c r="N53" s="17">
        <f t="shared" si="0"/>
        <v>44614</v>
      </c>
      <c r="O53" t="str">
        <f>LEFT(Table1[[#This Row],[Department_Region]], FIND("-", Table1[[#This Row],[Department_Region]]) - 1)</f>
        <v>Admin</v>
      </c>
      <c r="P53" t="str">
        <f>RIGHT(Table1[[#This Row],[Department_Region]],LEN(Table1[[#This Row],[Department_Region]]) - FIND("-",Table1[[#This Row],[Department_Region]]))</f>
        <v>Nevada</v>
      </c>
      <c r="Q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3" s="15"/>
    </row>
    <row r="54" spans="1:18" x14ac:dyDescent="0.2">
      <c r="A54" s="1">
        <v>52</v>
      </c>
      <c r="B54" s="6" t="s">
        <v>176</v>
      </c>
      <c r="C54" t="s">
        <v>59</v>
      </c>
      <c r="D54" t="s">
        <v>38</v>
      </c>
      <c r="E54">
        <v>30</v>
      </c>
      <c r="F54" t="s">
        <v>70</v>
      </c>
      <c r="G54" t="s">
        <v>33</v>
      </c>
      <c r="H54" s="6" t="s">
        <v>1696</v>
      </c>
      <c r="I54" s="11">
        <v>105674.18</v>
      </c>
      <c r="J54" t="s">
        <v>61</v>
      </c>
      <c r="K54">
        <v>-9973080694</v>
      </c>
      <c r="L54" t="s">
        <v>30</v>
      </c>
      <c r="M54" t="b">
        <v>0</v>
      </c>
      <c r="N54" s="17">
        <f t="shared" si="0"/>
        <v>45511</v>
      </c>
      <c r="O54" t="str">
        <f>LEFT(Table1[[#This Row],[Department_Region]], FIND("-", Table1[[#This Row],[Department_Region]]) - 1)</f>
        <v>Finance</v>
      </c>
      <c r="P54" t="str">
        <f>RIGHT(Table1[[#This Row],[Department_Region]],LEN(Table1[[#This Row],[Department_Region]]) - FIND("-",Table1[[#This Row],[Department_Region]]))</f>
        <v>California</v>
      </c>
      <c r="Q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4" s="15"/>
    </row>
    <row r="55" spans="1:18" x14ac:dyDescent="0.2">
      <c r="A55" s="1">
        <v>53</v>
      </c>
      <c r="B55" s="6" t="s">
        <v>177</v>
      </c>
      <c r="C55" t="s">
        <v>25</v>
      </c>
      <c r="D55" t="s">
        <v>20</v>
      </c>
      <c r="E55">
        <v>30</v>
      </c>
      <c r="F55" t="s">
        <v>70</v>
      </c>
      <c r="G55" t="s">
        <v>33</v>
      </c>
      <c r="H55" s="6" t="s">
        <v>1689</v>
      </c>
      <c r="I55" s="11">
        <v>54859.45</v>
      </c>
      <c r="J55" t="s">
        <v>81</v>
      </c>
      <c r="K55">
        <v>-8146717956</v>
      </c>
      <c r="L55" t="s">
        <v>18</v>
      </c>
      <c r="M55" t="b">
        <v>0</v>
      </c>
      <c r="N55" s="17">
        <f t="shared" si="0"/>
        <v>45601</v>
      </c>
      <c r="O55" t="str">
        <f>LEFT(Table1[[#This Row],[Department_Region]], FIND("-", Table1[[#This Row],[Department_Region]]) - 1)</f>
        <v>Finance</v>
      </c>
      <c r="P55" t="str">
        <f>RIGHT(Table1[[#This Row],[Department_Region]],LEN(Table1[[#This Row],[Department_Region]]) - FIND("-",Table1[[#This Row],[Department_Region]]))</f>
        <v>California</v>
      </c>
      <c r="Q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5" s="15"/>
    </row>
    <row r="56" spans="1:18" x14ac:dyDescent="0.2">
      <c r="A56" s="1">
        <v>54</v>
      </c>
      <c r="B56" s="6" t="s">
        <v>178</v>
      </c>
      <c r="C56" t="s">
        <v>37</v>
      </c>
      <c r="D56" t="s">
        <v>14</v>
      </c>
      <c r="E56">
        <v>32</v>
      </c>
      <c r="F56" t="s">
        <v>101</v>
      </c>
      <c r="G56" t="s">
        <v>28</v>
      </c>
      <c r="H56" s="6" t="s">
        <v>1697</v>
      </c>
      <c r="I56" s="11">
        <v>115746.6</v>
      </c>
      <c r="J56" t="s">
        <v>52</v>
      </c>
      <c r="K56">
        <v>-6024375737</v>
      </c>
      <c r="L56" t="s">
        <v>23</v>
      </c>
      <c r="M56" t="b">
        <v>1</v>
      </c>
      <c r="N56" s="17">
        <f t="shared" si="0"/>
        <v>44509</v>
      </c>
      <c r="O56" t="str">
        <f>LEFT(Table1[[#This Row],[Department_Region]], FIND("-", Table1[[#This Row],[Department_Region]]) - 1)</f>
        <v>Finance</v>
      </c>
      <c r="P56" t="str">
        <f>RIGHT(Table1[[#This Row],[Department_Region]],LEN(Table1[[#This Row],[Department_Region]]) - FIND("-",Table1[[#This Row],[Department_Region]]))</f>
        <v>Nevada</v>
      </c>
      <c r="Q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" s="15"/>
    </row>
    <row r="57" spans="1:18" x14ac:dyDescent="0.2">
      <c r="A57" s="1">
        <v>55</v>
      </c>
      <c r="B57" s="6" t="s">
        <v>179</v>
      </c>
      <c r="C57" t="s">
        <v>32</v>
      </c>
      <c r="D57" t="s">
        <v>20</v>
      </c>
      <c r="E57">
        <v>30</v>
      </c>
      <c r="F57" t="s">
        <v>180</v>
      </c>
      <c r="G57" t="s">
        <v>16</v>
      </c>
      <c r="H57" s="6" t="s">
        <v>1698</v>
      </c>
      <c r="I57" s="11">
        <v>91759.99</v>
      </c>
      <c r="J57" t="s">
        <v>157</v>
      </c>
      <c r="K57">
        <v>-3959724664</v>
      </c>
      <c r="L57" t="s">
        <v>23</v>
      </c>
      <c r="M57" t="b">
        <v>1</v>
      </c>
      <c r="N57" s="17">
        <f t="shared" si="0"/>
        <v>44053</v>
      </c>
      <c r="O57" t="str">
        <f>LEFT(Table1[[#This Row],[Department_Region]], FIND("-", Table1[[#This Row],[Department_Region]]) - 1)</f>
        <v>Sales</v>
      </c>
      <c r="P57" t="str">
        <f>RIGHT(Table1[[#This Row],[Department_Region]],LEN(Table1[[#This Row],[Department_Region]]) - FIND("-",Table1[[#This Row],[Department_Region]]))</f>
        <v>California</v>
      </c>
      <c r="Q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" s="15"/>
    </row>
    <row r="58" spans="1:18" x14ac:dyDescent="0.2">
      <c r="A58" s="1">
        <v>56</v>
      </c>
      <c r="B58" s="6" t="s">
        <v>181</v>
      </c>
      <c r="C58" t="s">
        <v>37</v>
      </c>
      <c r="D58" t="s">
        <v>43</v>
      </c>
      <c r="E58">
        <v>40</v>
      </c>
      <c r="F58" t="s">
        <v>99</v>
      </c>
      <c r="G58" t="s">
        <v>16</v>
      </c>
      <c r="H58" s="6" t="s">
        <v>182</v>
      </c>
      <c r="I58" s="11">
        <v>112965.33</v>
      </c>
      <c r="J58" t="s">
        <v>183</v>
      </c>
      <c r="K58">
        <v>-7293417222</v>
      </c>
      <c r="L58" t="s">
        <v>30</v>
      </c>
      <c r="M58" t="b">
        <v>0</v>
      </c>
      <c r="N58" s="17">
        <f t="shared" si="0"/>
        <v>44619</v>
      </c>
      <c r="O58" t="str">
        <f>LEFT(Table1[[#This Row],[Department_Region]], FIND("-", Table1[[#This Row],[Department_Region]]) - 1)</f>
        <v>Sales</v>
      </c>
      <c r="P58" t="str">
        <f>RIGHT(Table1[[#This Row],[Department_Region]],LEN(Table1[[#This Row],[Department_Region]]) - FIND("-",Table1[[#This Row],[Department_Region]]))</f>
        <v>Illinois</v>
      </c>
      <c r="Q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8" s="15"/>
    </row>
    <row r="59" spans="1:18" x14ac:dyDescent="0.2">
      <c r="A59" s="1">
        <v>57</v>
      </c>
      <c r="B59" s="6" t="s">
        <v>184</v>
      </c>
      <c r="C59" t="s">
        <v>25</v>
      </c>
      <c r="D59" t="s">
        <v>124</v>
      </c>
      <c r="E59">
        <v>40</v>
      </c>
      <c r="F59" t="s">
        <v>96</v>
      </c>
      <c r="G59" t="s">
        <v>28</v>
      </c>
      <c r="H59" s="6" t="s">
        <v>1699</v>
      </c>
      <c r="I59" s="11">
        <v>100360.1</v>
      </c>
      <c r="J59" t="s">
        <v>185</v>
      </c>
      <c r="K59">
        <v>-2971674337</v>
      </c>
      <c r="L59" t="s">
        <v>23</v>
      </c>
      <c r="M59" t="b">
        <v>0</v>
      </c>
      <c r="N59" s="17">
        <f t="shared" si="0"/>
        <v>45237</v>
      </c>
      <c r="O59" t="str">
        <f>LEFT(Table1[[#This Row],[Department_Region]], FIND("-", Table1[[#This Row],[Department_Region]]) - 1)</f>
        <v>Cloud Tech</v>
      </c>
      <c r="P59" t="str">
        <f>RIGHT(Table1[[#This Row],[Department_Region]],LEN(Table1[[#This Row],[Department_Region]]) - FIND("-",Table1[[#This Row],[Department_Region]]))</f>
        <v>Illinois</v>
      </c>
      <c r="Q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9" s="15"/>
    </row>
    <row r="60" spans="1:18" x14ac:dyDescent="0.2">
      <c r="A60" s="1">
        <v>58</v>
      </c>
      <c r="B60" s="6" t="s">
        <v>186</v>
      </c>
      <c r="C60" t="s">
        <v>59</v>
      </c>
      <c r="D60" t="s">
        <v>38</v>
      </c>
      <c r="E60">
        <v>35</v>
      </c>
      <c r="F60" t="s">
        <v>21</v>
      </c>
      <c r="G60" t="s">
        <v>28</v>
      </c>
      <c r="H60" s="6" t="s">
        <v>1700</v>
      </c>
      <c r="I60" s="11">
        <v>93620.88</v>
      </c>
      <c r="J60" t="s">
        <v>61</v>
      </c>
      <c r="K60">
        <v>-54522800</v>
      </c>
      <c r="L60" t="s">
        <v>30</v>
      </c>
      <c r="M60" t="b">
        <v>0</v>
      </c>
      <c r="N60" s="17">
        <f t="shared" si="0"/>
        <v>44507</v>
      </c>
      <c r="O60" t="str">
        <f>LEFT(Table1[[#This Row],[Department_Region]], FIND("-", Table1[[#This Row],[Department_Region]]) - 1)</f>
        <v>Finance</v>
      </c>
      <c r="P60" t="str">
        <f>RIGHT(Table1[[#This Row],[Department_Region]],LEN(Table1[[#This Row],[Department_Region]]) - FIND("-",Table1[[#This Row],[Department_Region]]))</f>
        <v>Texas</v>
      </c>
      <c r="Q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0" s="15"/>
    </row>
    <row r="61" spans="1:18" x14ac:dyDescent="0.2">
      <c r="A61" s="1">
        <v>59</v>
      </c>
      <c r="B61" s="6" t="s">
        <v>187</v>
      </c>
      <c r="C61" t="s">
        <v>13</v>
      </c>
      <c r="D61" t="s">
        <v>26</v>
      </c>
      <c r="E61">
        <v>35</v>
      </c>
      <c r="F61" t="s">
        <v>180</v>
      </c>
      <c r="G61" t="s">
        <v>28</v>
      </c>
      <c r="H61" s="6" t="s">
        <v>188</v>
      </c>
      <c r="I61" s="11">
        <v>72832.800000000003</v>
      </c>
      <c r="J61" t="s">
        <v>50</v>
      </c>
      <c r="K61">
        <v>-5619318373</v>
      </c>
      <c r="L61" t="s">
        <v>23</v>
      </c>
      <c r="M61" t="b">
        <v>1</v>
      </c>
      <c r="N61" s="17">
        <f t="shared" si="0"/>
        <v>44667</v>
      </c>
      <c r="O61" t="str">
        <f>LEFT(Table1[[#This Row],[Department_Region]], FIND("-", Table1[[#This Row],[Department_Region]]) - 1)</f>
        <v>Sales</v>
      </c>
      <c r="P61" t="str">
        <f>RIGHT(Table1[[#This Row],[Department_Region]],LEN(Table1[[#This Row],[Department_Region]]) - FIND("-",Table1[[#This Row],[Department_Region]]))</f>
        <v>California</v>
      </c>
      <c r="Q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" s="15"/>
    </row>
    <row r="62" spans="1:18" x14ac:dyDescent="0.2">
      <c r="A62" s="1">
        <v>60</v>
      </c>
      <c r="B62" s="6" t="s">
        <v>189</v>
      </c>
      <c r="C62" t="s">
        <v>54</v>
      </c>
      <c r="D62" t="s">
        <v>38</v>
      </c>
      <c r="E62">
        <v>30</v>
      </c>
      <c r="F62" t="s">
        <v>101</v>
      </c>
      <c r="G62" t="s">
        <v>33</v>
      </c>
      <c r="H62" s="6" t="s">
        <v>190</v>
      </c>
      <c r="I62" s="11">
        <v>102369.42</v>
      </c>
      <c r="J62" t="s">
        <v>91</v>
      </c>
      <c r="K62">
        <v>-5508428909</v>
      </c>
      <c r="L62" t="s">
        <v>18</v>
      </c>
      <c r="M62" t="b">
        <v>1</v>
      </c>
      <c r="N62" s="17">
        <f t="shared" si="0"/>
        <v>45218</v>
      </c>
      <c r="O62" t="str">
        <f>LEFT(Table1[[#This Row],[Department_Region]], FIND("-", Table1[[#This Row],[Department_Region]]) - 1)</f>
        <v>Finance</v>
      </c>
      <c r="P62" t="str">
        <f>RIGHT(Table1[[#This Row],[Department_Region]],LEN(Table1[[#This Row],[Department_Region]]) - FIND("-",Table1[[#This Row],[Department_Region]]))</f>
        <v>Nevada</v>
      </c>
      <c r="Q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" s="15"/>
    </row>
    <row r="63" spans="1:18" x14ac:dyDescent="0.2">
      <c r="A63" s="1">
        <v>61</v>
      </c>
      <c r="B63" s="6" t="s">
        <v>191</v>
      </c>
      <c r="C63" t="s">
        <v>32</v>
      </c>
      <c r="D63" t="s">
        <v>14</v>
      </c>
      <c r="E63">
        <v>40</v>
      </c>
      <c r="F63" t="s">
        <v>44</v>
      </c>
      <c r="G63" t="s">
        <v>33</v>
      </c>
      <c r="H63" s="6" t="s">
        <v>1701</v>
      </c>
      <c r="I63" s="11">
        <v>64712.79</v>
      </c>
      <c r="J63" t="s">
        <v>35</v>
      </c>
      <c r="K63">
        <v>-7711991807</v>
      </c>
      <c r="L63" t="s">
        <v>23</v>
      </c>
      <c r="M63" t="b">
        <v>1</v>
      </c>
      <c r="N63" s="17">
        <f t="shared" si="0"/>
        <v>44418</v>
      </c>
      <c r="O63" t="str">
        <f>LEFT(Table1[[#This Row],[Department_Region]], FIND("-", Table1[[#This Row],[Department_Region]]) - 1)</f>
        <v>Sales</v>
      </c>
      <c r="P63" t="str">
        <f>RIGHT(Table1[[#This Row],[Department_Region]],LEN(Table1[[#This Row],[Department_Region]]) - FIND("-",Table1[[#This Row],[Department_Region]]))</f>
        <v>Texas</v>
      </c>
      <c r="Q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" s="15"/>
    </row>
    <row r="64" spans="1:18" x14ac:dyDescent="0.2">
      <c r="A64" s="1">
        <v>62</v>
      </c>
      <c r="B64" s="6" t="s">
        <v>192</v>
      </c>
      <c r="C64" t="s">
        <v>37</v>
      </c>
      <c r="D64" t="s">
        <v>26</v>
      </c>
      <c r="E64">
        <v>40</v>
      </c>
      <c r="F64" t="s">
        <v>113</v>
      </c>
      <c r="G64" t="s">
        <v>28</v>
      </c>
      <c r="H64" s="6" t="s">
        <v>193</v>
      </c>
      <c r="I64" s="11">
        <v>85782.18</v>
      </c>
      <c r="J64" t="s">
        <v>47</v>
      </c>
      <c r="K64">
        <v>-1213524786</v>
      </c>
      <c r="L64" t="s">
        <v>23</v>
      </c>
      <c r="M64" t="b">
        <v>1</v>
      </c>
      <c r="N64" s="17">
        <f t="shared" si="0"/>
        <v>44268</v>
      </c>
      <c r="O64" t="str">
        <f>LEFT(Table1[[#This Row],[Department_Region]], FIND("-", Table1[[#This Row],[Department_Region]]) - 1)</f>
        <v>Finance</v>
      </c>
      <c r="P64" t="str">
        <f>RIGHT(Table1[[#This Row],[Department_Region]],LEN(Table1[[#This Row],[Department_Region]]) - FIND("-",Table1[[#This Row],[Department_Region]]))</f>
        <v>Florida</v>
      </c>
      <c r="Q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4" s="15"/>
    </row>
    <row r="65" spans="1:18" x14ac:dyDescent="0.2">
      <c r="A65" s="1">
        <v>63</v>
      </c>
      <c r="B65" s="6" t="s">
        <v>194</v>
      </c>
      <c r="C65" t="s">
        <v>54</v>
      </c>
      <c r="D65" t="s">
        <v>124</v>
      </c>
      <c r="E65">
        <v>25</v>
      </c>
      <c r="F65" t="s">
        <v>195</v>
      </c>
      <c r="G65" t="s">
        <v>28</v>
      </c>
      <c r="H65" s="6" t="s">
        <v>196</v>
      </c>
      <c r="I65" s="11">
        <v>93348.26</v>
      </c>
      <c r="J65" t="s">
        <v>197</v>
      </c>
      <c r="K65">
        <v>-1255213759</v>
      </c>
      <c r="L65" t="s">
        <v>41</v>
      </c>
      <c r="M65" t="b">
        <v>0</v>
      </c>
      <c r="N65" s="17">
        <f t="shared" si="0"/>
        <v>45127</v>
      </c>
      <c r="O65" t="str">
        <f>LEFT(Table1[[#This Row],[Department_Region]], FIND("-", Table1[[#This Row],[Department_Region]]) - 1)</f>
        <v>HR</v>
      </c>
      <c r="P65" t="str">
        <f>RIGHT(Table1[[#This Row],[Department_Region]],LEN(Table1[[#This Row],[Department_Region]]) - FIND("-",Table1[[#This Row],[Department_Region]]))</f>
        <v>Illinois</v>
      </c>
      <c r="Q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5" s="15"/>
    </row>
    <row r="66" spans="1:18" x14ac:dyDescent="0.2">
      <c r="A66" s="1">
        <v>64</v>
      </c>
      <c r="B66" s="6" t="s">
        <v>198</v>
      </c>
      <c r="C66" t="s">
        <v>59</v>
      </c>
      <c r="D66" t="s">
        <v>14</v>
      </c>
      <c r="E66">
        <v>35</v>
      </c>
      <c r="F66" t="s">
        <v>199</v>
      </c>
      <c r="G66" t="s">
        <v>16</v>
      </c>
      <c r="H66" s="6" t="s">
        <v>200</v>
      </c>
      <c r="I66" s="11">
        <v>53234.96</v>
      </c>
      <c r="J66" t="s">
        <v>63</v>
      </c>
      <c r="K66">
        <v>-3754821455</v>
      </c>
      <c r="L66" t="s">
        <v>30</v>
      </c>
      <c r="M66" t="b">
        <v>0</v>
      </c>
      <c r="N66" s="17">
        <f t="shared" ref="N66:N129" si="1">IF(ISNUMBER(H66), H66, DATE(RIGHT(H66, 4), LEFT(H66, FIND("/", H66) - 1), MID(H66, FIND("/", H66) + 1, FIND("/", H66, FIND("/", H66) + 1) - FIND("/", H66) - 1)))</f>
        <v>43881</v>
      </c>
      <c r="O66" t="str">
        <f>LEFT(Table1[[#This Row],[Department_Region]], FIND("-", Table1[[#This Row],[Department_Region]]) - 1)</f>
        <v>Admin</v>
      </c>
      <c r="P66" t="str">
        <f>RIGHT(Table1[[#This Row],[Department_Region]],LEN(Table1[[#This Row],[Department_Region]]) - FIND("-",Table1[[#This Row],[Department_Region]]))</f>
        <v>New York</v>
      </c>
      <c r="Q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6" s="15"/>
    </row>
    <row r="67" spans="1:18" x14ac:dyDescent="0.2">
      <c r="A67" s="1">
        <v>65</v>
      </c>
      <c r="B67" s="6" t="s">
        <v>201</v>
      </c>
      <c r="C67" t="s">
        <v>13</v>
      </c>
      <c r="D67" t="s">
        <v>55</v>
      </c>
      <c r="E67">
        <v>40</v>
      </c>
      <c r="F67" t="s">
        <v>101</v>
      </c>
      <c r="G67" t="s">
        <v>28</v>
      </c>
      <c r="H67" s="6" t="s">
        <v>1702</v>
      </c>
      <c r="I67" s="11">
        <v>100284.21</v>
      </c>
      <c r="J67" t="s">
        <v>202</v>
      </c>
      <c r="K67">
        <v>-5328632665</v>
      </c>
      <c r="L67" t="s">
        <v>23</v>
      </c>
      <c r="M67" t="b">
        <v>0</v>
      </c>
      <c r="N67" s="17">
        <f t="shared" si="1"/>
        <v>44229</v>
      </c>
      <c r="O67" t="str">
        <f>LEFT(Table1[[#This Row],[Department_Region]], FIND("-", Table1[[#This Row],[Department_Region]]) - 1)</f>
        <v>Finance</v>
      </c>
      <c r="P67" t="str">
        <f>RIGHT(Table1[[#This Row],[Department_Region]],LEN(Table1[[#This Row],[Department_Region]]) - FIND("-",Table1[[#This Row],[Department_Region]]))</f>
        <v>Nevada</v>
      </c>
      <c r="Q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7" s="15"/>
    </row>
    <row r="68" spans="1:18" x14ac:dyDescent="0.2">
      <c r="A68" s="1">
        <v>66</v>
      </c>
      <c r="B68" s="6" t="s">
        <v>203</v>
      </c>
      <c r="C68" t="s">
        <v>69</v>
      </c>
      <c r="D68" t="s">
        <v>20</v>
      </c>
      <c r="E68">
        <v>30</v>
      </c>
      <c r="F68" t="s">
        <v>27</v>
      </c>
      <c r="G68" t="s">
        <v>28</v>
      </c>
      <c r="H68" s="6" t="s">
        <v>1703</v>
      </c>
      <c r="I68" s="11">
        <v>112486.19</v>
      </c>
      <c r="J68" t="s">
        <v>204</v>
      </c>
      <c r="K68">
        <v>-7850720810</v>
      </c>
      <c r="L68" t="s">
        <v>23</v>
      </c>
      <c r="M68" t="b">
        <v>1</v>
      </c>
      <c r="N68" s="17">
        <f t="shared" si="1"/>
        <v>43842</v>
      </c>
      <c r="O68" t="str">
        <f>LEFT(Table1[[#This Row],[Department_Region]], FIND("-", Table1[[#This Row],[Department_Region]]) - 1)</f>
        <v>Admin</v>
      </c>
      <c r="P68" t="str">
        <f>RIGHT(Table1[[#This Row],[Department_Region]],LEN(Table1[[#This Row],[Department_Region]]) - FIND("-",Table1[[#This Row],[Department_Region]]))</f>
        <v>Nevada</v>
      </c>
      <c r="Q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8" s="15"/>
    </row>
    <row r="69" spans="1:18" x14ac:dyDescent="0.2">
      <c r="A69" s="1">
        <v>67</v>
      </c>
      <c r="B69" s="6" t="s">
        <v>205</v>
      </c>
      <c r="C69" t="s">
        <v>13</v>
      </c>
      <c r="D69" t="s">
        <v>124</v>
      </c>
      <c r="E69">
        <v>40</v>
      </c>
      <c r="F69" t="s">
        <v>199</v>
      </c>
      <c r="G69" t="s">
        <v>28</v>
      </c>
      <c r="H69" s="6" t="s">
        <v>206</v>
      </c>
      <c r="I69" s="11">
        <v>82518.490000000005</v>
      </c>
      <c r="J69" t="s">
        <v>125</v>
      </c>
      <c r="K69">
        <v>-5562606028</v>
      </c>
      <c r="L69" t="s">
        <v>41</v>
      </c>
      <c r="M69" t="b">
        <v>1</v>
      </c>
      <c r="N69" s="17">
        <f t="shared" si="1"/>
        <v>44891</v>
      </c>
      <c r="O69" t="str">
        <f>LEFT(Table1[[#This Row],[Department_Region]], FIND("-", Table1[[#This Row],[Department_Region]]) - 1)</f>
        <v>Admin</v>
      </c>
      <c r="P69" t="str">
        <f>RIGHT(Table1[[#This Row],[Department_Region]],LEN(Table1[[#This Row],[Department_Region]]) - FIND("-",Table1[[#This Row],[Department_Region]]))</f>
        <v>New York</v>
      </c>
      <c r="Q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9" s="15"/>
    </row>
    <row r="70" spans="1:18" x14ac:dyDescent="0.2">
      <c r="A70" s="1">
        <v>68</v>
      </c>
      <c r="B70" s="6" t="s">
        <v>207</v>
      </c>
      <c r="C70" t="s">
        <v>13</v>
      </c>
      <c r="D70" t="s">
        <v>20</v>
      </c>
      <c r="E70">
        <v>40</v>
      </c>
      <c r="F70" t="s">
        <v>208</v>
      </c>
      <c r="G70" t="s">
        <v>28</v>
      </c>
      <c r="H70" s="6" t="s">
        <v>209</v>
      </c>
      <c r="I70" s="11">
        <v>119152.47</v>
      </c>
      <c r="J70" t="s">
        <v>22</v>
      </c>
      <c r="K70">
        <v>-846684549</v>
      </c>
      <c r="L70" t="s">
        <v>41</v>
      </c>
      <c r="M70" t="b">
        <v>1</v>
      </c>
      <c r="N70" s="17">
        <f t="shared" si="1"/>
        <v>44918</v>
      </c>
      <c r="O70" t="str">
        <f>LEFT(Table1[[#This Row],[Department_Region]], FIND("-", Table1[[#This Row],[Department_Region]]) - 1)</f>
        <v>Admin</v>
      </c>
      <c r="P70" t="str">
        <f>RIGHT(Table1[[#This Row],[Department_Region]],LEN(Table1[[#This Row],[Department_Region]]) - FIND("-",Table1[[#This Row],[Department_Region]]))</f>
        <v>Florida</v>
      </c>
      <c r="Q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0" s="15"/>
    </row>
    <row r="71" spans="1:18" x14ac:dyDescent="0.2">
      <c r="A71" s="1">
        <v>69</v>
      </c>
      <c r="B71" s="6" t="s">
        <v>210</v>
      </c>
      <c r="C71" t="s">
        <v>65</v>
      </c>
      <c r="D71" t="s">
        <v>93</v>
      </c>
      <c r="E71">
        <v>32</v>
      </c>
      <c r="F71" t="s">
        <v>79</v>
      </c>
      <c r="G71" t="s">
        <v>33</v>
      </c>
      <c r="H71" s="6" t="s">
        <v>211</v>
      </c>
      <c r="I71" s="11">
        <v>113479.83</v>
      </c>
      <c r="J71" t="s">
        <v>132</v>
      </c>
      <c r="K71">
        <v>-4892673898</v>
      </c>
      <c r="L71" t="s">
        <v>30</v>
      </c>
      <c r="M71" t="b">
        <v>0</v>
      </c>
      <c r="N71" s="17">
        <f t="shared" si="1"/>
        <v>45532</v>
      </c>
      <c r="O71" t="str">
        <f>LEFT(Table1[[#This Row],[Department_Region]], FIND("-", Table1[[#This Row],[Department_Region]]) - 1)</f>
        <v>DevOps</v>
      </c>
      <c r="P71" t="str">
        <f>RIGHT(Table1[[#This Row],[Department_Region]],LEN(Table1[[#This Row],[Department_Region]]) - FIND("-",Table1[[#This Row],[Department_Region]]))</f>
        <v>Illinois</v>
      </c>
      <c r="Q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1" s="15"/>
    </row>
    <row r="72" spans="1:18" x14ac:dyDescent="0.2">
      <c r="A72" s="1">
        <v>70</v>
      </c>
      <c r="B72" s="6" t="s">
        <v>212</v>
      </c>
      <c r="C72" t="s">
        <v>54</v>
      </c>
      <c r="D72" t="s">
        <v>55</v>
      </c>
      <c r="E72">
        <v>40</v>
      </c>
      <c r="F72" t="s">
        <v>70</v>
      </c>
      <c r="G72" t="s">
        <v>16</v>
      </c>
      <c r="H72" s="6" t="s">
        <v>213</v>
      </c>
      <c r="I72" s="11">
        <v>94636.3</v>
      </c>
      <c r="J72" t="s">
        <v>57</v>
      </c>
      <c r="K72">
        <v>-7563410855</v>
      </c>
      <c r="L72" t="s">
        <v>41</v>
      </c>
      <c r="M72" t="b">
        <v>0</v>
      </c>
      <c r="N72" s="17">
        <f t="shared" si="1"/>
        <v>45551</v>
      </c>
      <c r="O72" t="str">
        <f>LEFT(Table1[[#This Row],[Department_Region]], FIND("-", Table1[[#This Row],[Department_Region]]) - 1)</f>
        <v>Finance</v>
      </c>
      <c r="P72" t="str">
        <f>RIGHT(Table1[[#This Row],[Department_Region]],LEN(Table1[[#This Row],[Department_Region]]) - FIND("-",Table1[[#This Row],[Department_Region]]))</f>
        <v>California</v>
      </c>
      <c r="Q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" s="15"/>
    </row>
    <row r="73" spans="1:18" x14ac:dyDescent="0.2">
      <c r="A73" s="1">
        <v>71</v>
      </c>
      <c r="B73" s="6" t="s">
        <v>214</v>
      </c>
      <c r="C73" t="s">
        <v>65</v>
      </c>
      <c r="D73" t="s">
        <v>55</v>
      </c>
      <c r="E73">
        <v>30</v>
      </c>
      <c r="F73" t="s">
        <v>215</v>
      </c>
      <c r="G73" t="s">
        <v>16</v>
      </c>
      <c r="H73" s="6" t="s">
        <v>1704</v>
      </c>
      <c r="I73" s="11">
        <v>70000.97</v>
      </c>
      <c r="J73" t="s">
        <v>114</v>
      </c>
      <c r="K73">
        <v>-2884318847</v>
      </c>
      <c r="L73" t="s">
        <v>18</v>
      </c>
      <c r="M73" t="b">
        <v>1</v>
      </c>
      <c r="N73" s="17">
        <f t="shared" si="1"/>
        <v>45292</v>
      </c>
      <c r="O73" t="str">
        <f>LEFT(Table1[[#This Row],[Department_Region]], FIND("-", Table1[[#This Row],[Department_Region]]) - 1)</f>
        <v>HR</v>
      </c>
      <c r="P73" t="str">
        <f>RIGHT(Table1[[#This Row],[Department_Region]],LEN(Table1[[#This Row],[Department_Region]]) - FIND("-",Table1[[#This Row],[Department_Region]]))</f>
        <v>Florida</v>
      </c>
      <c r="Q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3" s="15"/>
    </row>
    <row r="74" spans="1:18" x14ac:dyDescent="0.2">
      <c r="A74" s="1">
        <v>72</v>
      </c>
      <c r="B74" s="6" t="s">
        <v>216</v>
      </c>
      <c r="C74" t="s">
        <v>37</v>
      </c>
      <c r="D74" t="s">
        <v>124</v>
      </c>
      <c r="E74">
        <v>32</v>
      </c>
      <c r="F74" t="s">
        <v>60</v>
      </c>
      <c r="G74" t="s">
        <v>16</v>
      </c>
      <c r="H74" s="6" t="s">
        <v>217</v>
      </c>
      <c r="I74" s="11">
        <v>76812.47</v>
      </c>
      <c r="J74" t="s">
        <v>139</v>
      </c>
      <c r="K74">
        <v>-5200894345</v>
      </c>
      <c r="L74" t="s">
        <v>41</v>
      </c>
      <c r="M74" t="b">
        <v>0</v>
      </c>
      <c r="N74" s="17">
        <f t="shared" si="1"/>
        <v>44304</v>
      </c>
      <c r="O74" t="str">
        <f>LEFT(Table1[[#This Row],[Department_Region]], FIND("-", Table1[[#This Row],[Department_Region]]) - 1)</f>
        <v>Cloud Tech</v>
      </c>
      <c r="P74" t="str">
        <f>RIGHT(Table1[[#This Row],[Department_Region]],LEN(Table1[[#This Row],[Department_Region]]) - FIND("-",Table1[[#This Row],[Department_Region]]))</f>
        <v>New York</v>
      </c>
      <c r="Q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4" s="15"/>
    </row>
    <row r="75" spans="1:18" x14ac:dyDescent="0.2">
      <c r="A75" s="1">
        <v>73</v>
      </c>
      <c r="B75" s="6" t="s">
        <v>218</v>
      </c>
      <c r="C75" t="s">
        <v>59</v>
      </c>
      <c r="D75" t="s">
        <v>55</v>
      </c>
      <c r="E75">
        <v>25</v>
      </c>
      <c r="F75" t="s">
        <v>113</v>
      </c>
      <c r="G75" t="s">
        <v>33</v>
      </c>
      <c r="H75" s="6" t="s">
        <v>219</v>
      </c>
      <c r="I75" s="11">
        <v>82614.7</v>
      </c>
      <c r="J75" t="s">
        <v>220</v>
      </c>
      <c r="K75">
        <v>-8105485100</v>
      </c>
      <c r="L75" t="s">
        <v>18</v>
      </c>
      <c r="M75" t="b">
        <v>1</v>
      </c>
      <c r="N75" s="17">
        <f t="shared" si="1"/>
        <v>44942</v>
      </c>
      <c r="O75" t="str">
        <f>LEFT(Table1[[#This Row],[Department_Region]], FIND("-", Table1[[#This Row],[Department_Region]]) - 1)</f>
        <v>Finance</v>
      </c>
      <c r="P75" t="str">
        <f>RIGHT(Table1[[#This Row],[Department_Region]],LEN(Table1[[#This Row],[Department_Region]]) - FIND("-",Table1[[#This Row],[Department_Region]]))</f>
        <v>Florida</v>
      </c>
      <c r="Q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5" s="15"/>
    </row>
    <row r="76" spans="1:18" x14ac:dyDescent="0.2">
      <c r="A76" s="1">
        <v>74</v>
      </c>
      <c r="B76" s="6" t="s">
        <v>221</v>
      </c>
      <c r="C76" t="s">
        <v>69</v>
      </c>
      <c r="D76" t="s">
        <v>26</v>
      </c>
      <c r="E76">
        <v>40</v>
      </c>
      <c r="F76" t="s">
        <v>222</v>
      </c>
      <c r="G76" t="s">
        <v>16</v>
      </c>
      <c r="H76" s="6" t="s">
        <v>223</v>
      </c>
      <c r="I76" s="11">
        <v>111645.97</v>
      </c>
      <c r="J76" t="s">
        <v>77</v>
      </c>
      <c r="K76">
        <v>-7490753997</v>
      </c>
      <c r="L76" t="s">
        <v>30</v>
      </c>
      <c r="M76" t="b">
        <v>1</v>
      </c>
      <c r="N76" s="17">
        <f t="shared" si="1"/>
        <v>45585</v>
      </c>
      <c r="O76" t="str">
        <f>LEFT(Table1[[#This Row],[Department_Region]], FIND("-", Table1[[#This Row],[Department_Region]]) - 1)</f>
        <v>Sales</v>
      </c>
      <c r="P76" t="str">
        <f>RIGHT(Table1[[#This Row],[Department_Region]],LEN(Table1[[#This Row],[Department_Region]]) - FIND("-",Table1[[#This Row],[Department_Region]]))</f>
        <v>Nevada</v>
      </c>
      <c r="Q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6" s="15"/>
    </row>
    <row r="77" spans="1:18" x14ac:dyDescent="0.2">
      <c r="A77" s="1">
        <v>75</v>
      </c>
      <c r="B77" s="6" t="s">
        <v>224</v>
      </c>
      <c r="C77" t="s">
        <v>65</v>
      </c>
      <c r="D77" t="s">
        <v>55</v>
      </c>
      <c r="E77">
        <v>25</v>
      </c>
      <c r="F77" t="s">
        <v>148</v>
      </c>
      <c r="G77" t="s">
        <v>33</v>
      </c>
      <c r="H77" s="6" t="s">
        <v>225</v>
      </c>
      <c r="I77" s="11">
        <v>112414.91</v>
      </c>
      <c r="J77" t="s">
        <v>114</v>
      </c>
      <c r="K77">
        <v>-9354492682</v>
      </c>
      <c r="L77" t="s">
        <v>30</v>
      </c>
      <c r="M77" t="b">
        <v>0</v>
      </c>
      <c r="N77" s="17">
        <f t="shared" si="1"/>
        <v>45578</v>
      </c>
      <c r="O77" t="str">
        <f>LEFT(Table1[[#This Row],[Department_Region]], FIND("-", Table1[[#This Row],[Department_Region]]) - 1)</f>
        <v>HR</v>
      </c>
      <c r="P77" t="str">
        <f>RIGHT(Table1[[#This Row],[Department_Region]],LEN(Table1[[#This Row],[Department_Region]]) - FIND("-",Table1[[#This Row],[Department_Region]]))</f>
        <v>California</v>
      </c>
      <c r="Q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7" s="15"/>
    </row>
    <row r="78" spans="1:18" x14ac:dyDescent="0.2">
      <c r="A78" s="1">
        <v>76</v>
      </c>
      <c r="B78" s="6" t="s">
        <v>226</v>
      </c>
      <c r="C78" t="s">
        <v>59</v>
      </c>
      <c r="D78" t="s">
        <v>20</v>
      </c>
      <c r="E78">
        <v>40</v>
      </c>
      <c r="F78" t="s">
        <v>120</v>
      </c>
      <c r="G78" t="s">
        <v>33</v>
      </c>
      <c r="H78" s="6" t="s">
        <v>227</v>
      </c>
      <c r="I78" s="11">
        <v>52031.74</v>
      </c>
      <c r="J78" t="s">
        <v>228</v>
      </c>
      <c r="K78">
        <v>-1589357125</v>
      </c>
      <c r="L78" t="s">
        <v>30</v>
      </c>
      <c r="M78" t="b">
        <v>1</v>
      </c>
      <c r="N78" s="17">
        <f t="shared" si="1"/>
        <v>44825</v>
      </c>
      <c r="O78" t="str">
        <f>LEFT(Table1[[#This Row],[Department_Region]], FIND("-", Table1[[#This Row],[Department_Region]]) - 1)</f>
        <v>Admin</v>
      </c>
      <c r="P78" t="str">
        <f>RIGHT(Table1[[#This Row],[Department_Region]],LEN(Table1[[#This Row],[Department_Region]]) - FIND("-",Table1[[#This Row],[Department_Region]]))</f>
        <v>California</v>
      </c>
      <c r="Q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8" s="15"/>
    </row>
    <row r="79" spans="1:18" x14ac:dyDescent="0.2">
      <c r="A79" s="1">
        <v>77</v>
      </c>
      <c r="B79" s="6" t="s">
        <v>229</v>
      </c>
      <c r="C79" t="s">
        <v>69</v>
      </c>
      <c r="D79" t="s">
        <v>20</v>
      </c>
      <c r="E79">
        <v>30</v>
      </c>
      <c r="F79" t="s">
        <v>230</v>
      </c>
      <c r="G79" t="s">
        <v>28</v>
      </c>
      <c r="H79" s="6" t="s">
        <v>231</v>
      </c>
      <c r="I79" s="11">
        <v>51887.65</v>
      </c>
      <c r="J79" t="s">
        <v>204</v>
      </c>
      <c r="K79">
        <v>-6110627370</v>
      </c>
      <c r="L79" t="s">
        <v>30</v>
      </c>
      <c r="M79" t="b">
        <v>0</v>
      </c>
      <c r="N79" s="17">
        <f t="shared" si="1"/>
        <v>44924</v>
      </c>
      <c r="O79" t="str">
        <f>LEFT(Table1[[#This Row],[Department_Region]], FIND("-", Table1[[#This Row],[Department_Region]]) - 1)</f>
        <v>Finance</v>
      </c>
      <c r="P79" t="str">
        <f>RIGHT(Table1[[#This Row],[Department_Region]],LEN(Table1[[#This Row],[Department_Region]]) - FIND("-",Table1[[#This Row],[Department_Region]]))</f>
        <v>New York</v>
      </c>
      <c r="Q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9" s="15"/>
    </row>
    <row r="80" spans="1:18" x14ac:dyDescent="0.2">
      <c r="A80" s="1">
        <v>78</v>
      </c>
      <c r="B80" s="6" t="s">
        <v>232</v>
      </c>
      <c r="C80" t="s">
        <v>25</v>
      </c>
      <c r="D80" t="s">
        <v>14</v>
      </c>
      <c r="E80">
        <v>25</v>
      </c>
      <c r="F80" t="s">
        <v>233</v>
      </c>
      <c r="G80" t="s">
        <v>16</v>
      </c>
      <c r="H80" s="6" t="s">
        <v>234</v>
      </c>
      <c r="I80" s="11">
        <v>82318.89</v>
      </c>
      <c r="J80" t="s">
        <v>165</v>
      </c>
      <c r="K80">
        <v>-5869886496</v>
      </c>
      <c r="L80" t="s">
        <v>30</v>
      </c>
      <c r="M80" t="b">
        <v>1</v>
      </c>
      <c r="N80" s="17">
        <f t="shared" si="1"/>
        <v>45606</v>
      </c>
      <c r="O80" t="str">
        <f>LEFT(Table1[[#This Row],[Department_Region]], FIND("-", Table1[[#This Row],[Department_Region]]) - 1)</f>
        <v>DevOps</v>
      </c>
      <c r="P80" t="str">
        <f>RIGHT(Table1[[#This Row],[Department_Region]],LEN(Table1[[#This Row],[Department_Region]]) - FIND("-",Table1[[#This Row],[Department_Region]]))</f>
        <v>Florida</v>
      </c>
      <c r="Q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0" s="15"/>
    </row>
    <row r="81" spans="1:18" x14ac:dyDescent="0.2">
      <c r="A81" s="1">
        <v>79</v>
      </c>
      <c r="B81" s="6" t="s">
        <v>235</v>
      </c>
      <c r="C81" t="s">
        <v>69</v>
      </c>
      <c r="D81" t="s">
        <v>20</v>
      </c>
      <c r="E81">
        <v>35</v>
      </c>
      <c r="F81" t="s">
        <v>208</v>
      </c>
      <c r="G81" t="s">
        <v>33</v>
      </c>
      <c r="H81" s="6" t="s">
        <v>236</v>
      </c>
      <c r="I81" s="11">
        <v>103286.08</v>
      </c>
      <c r="J81" t="s">
        <v>204</v>
      </c>
      <c r="K81">
        <v>-6776228276</v>
      </c>
      <c r="L81" t="s">
        <v>18</v>
      </c>
      <c r="M81" t="b">
        <v>0</v>
      </c>
      <c r="N81" s="17">
        <f t="shared" si="1"/>
        <v>44522</v>
      </c>
      <c r="O81" t="str">
        <f>LEFT(Table1[[#This Row],[Department_Region]], FIND("-", Table1[[#This Row],[Department_Region]]) - 1)</f>
        <v>Admin</v>
      </c>
      <c r="P81" t="str">
        <f>RIGHT(Table1[[#This Row],[Department_Region]],LEN(Table1[[#This Row],[Department_Region]]) - FIND("-",Table1[[#This Row],[Department_Region]]))</f>
        <v>Florida</v>
      </c>
      <c r="Q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1" s="15"/>
    </row>
    <row r="82" spans="1:18" x14ac:dyDescent="0.2">
      <c r="A82" s="1">
        <v>80</v>
      </c>
      <c r="B82" s="6" t="s">
        <v>237</v>
      </c>
      <c r="C82" t="s">
        <v>69</v>
      </c>
      <c r="D82" t="s">
        <v>14</v>
      </c>
      <c r="E82">
        <v>35</v>
      </c>
      <c r="F82" t="s">
        <v>39</v>
      </c>
      <c r="G82" t="s">
        <v>16</v>
      </c>
      <c r="H82" s="6" t="s">
        <v>238</v>
      </c>
      <c r="I82" s="11">
        <v>87759.33</v>
      </c>
      <c r="J82" t="s">
        <v>239</v>
      </c>
      <c r="K82">
        <v>-2881377027</v>
      </c>
      <c r="L82" t="s">
        <v>18</v>
      </c>
      <c r="M82" t="b">
        <v>0</v>
      </c>
      <c r="N82" s="17">
        <f t="shared" si="1"/>
        <v>45365</v>
      </c>
      <c r="O82" t="str">
        <f>LEFT(Table1[[#This Row],[Department_Region]], FIND("-", Table1[[#This Row],[Department_Region]]) - 1)</f>
        <v>Cloud Tech</v>
      </c>
      <c r="P82" t="str">
        <f>RIGHT(Table1[[#This Row],[Department_Region]],LEN(Table1[[#This Row],[Department_Region]]) - FIND("-",Table1[[#This Row],[Department_Region]]))</f>
        <v>Florida</v>
      </c>
      <c r="Q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2" s="15"/>
    </row>
    <row r="83" spans="1:18" x14ac:dyDescent="0.2">
      <c r="A83" s="1">
        <v>81</v>
      </c>
      <c r="B83" s="6" t="s">
        <v>240</v>
      </c>
      <c r="C83" t="s">
        <v>37</v>
      </c>
      <c r="D83" t="s">
        <v>20</v>
      </c>
      <c r="E83">
        <v>30</v>
      </c>
      <c r="F83" t="s">
        <v>241</v>
      </c>
      <c r="G83" t="s">
        <v>28</v>
      </c>
      <c r="H83" s="6" t="s">
        <v>242</v>
      </c>
      <c r="I83" s="11">
        <v>102796.32</v>
      </c>
      <c r="J83" t="s">
        <v>243</v>
      </c>
      <c r="K83">
        <v>-5196115939</v>
      </c>
      <c r="L83" t="s">
        <v>30</v>
      </c>
      <c r="M83" t="b">
        <v>0</v>
      </c>
      <c r="N83" s="17">
        <f t="shared" si="1"/>
        <v>43913</v>
      </c>
      <c r="O83" t="str">
        <f>LEFT(Table1[[#This Row],[Department_Region]], FIND("-", Table1[[#This Row],[Department_Region]]) - 1)</f>
        <v>DevOps</v>
      </c>
      <c r="P83" t="str">
        <f>RIGHT(Table1[[#This Row],[Department_Region]],LEN(Table1[[#This Row],[Department_Region]]) - FIND("-",Table1[[#This Row],[Department_Region]]))</f>
        <v>Texas</v>
      </c>
      <c r="Q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3" s="15"/>
    </row>
    <row r="84" spans="1:18" x14ac:dyDescent="0.2">
      <c r="A84" s="1">
        <v>82</v>
      </c>
      <c r="B84" s="6" t="s">
        <v>244</v>
      </c>
      <c r="C84" t="s">
        <v>59</v>
      </c>
      <c r="D84" t="s">
        <v>26</v>
      </c>
      <c r="E84">
        <v>25</v>
      </c>
      <c r="F84" t="s">
        <v>110</v>
      </c>
      <c r="G84" t="s">
        <v>16</v>
      </c>
      <c r="H84" s="6" t="s">
        <v>245</v>
      </c>
      <c r="I84" s="11">
        <v>83149.27</v>
      </c>
      <c r="J84" t="s">
        <v>246</v>
      </c>
      <c r="K84">
        <v>-8215454469</v>
      </c>
      <c r="L84" t="s">
        <v>41</v>
      </c>
      <c r="M84" t="b">
        <v>1</v>
      </c>
      <c r="N84" s="17">
        <f t="shared" si="1"/>
        <v>44089</v>
      </c>
      <c r="O84" t="str">
        <f>LEFT(Table1[[#This Row],[Department_Region]], FIND("-", Table1[[#This Row],[Department_Region]]) - 1)</f>
        <v>Sales</v>
      </c>
      <c r="P84" t="str">
        <f>RIGHT(Table1[[#This Row],[Department_Region]],LEN(Table1[[#This Row],[Department_Region]]) - FIND("-",Table1[[#This Row],[Department_Region]]))</f>
        <v>New York</v>
      </c>
      <c r="Q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4" s="15"/>
    </row>
    <row r="85" spans="1:18" x14ac:dyDescent="0.2">
      <c r="A85" s="1">
        <v>83</v>
      </c>
      <c r="B85" s="6" t="s">
        <v>247</v>
      </c>
      <c r="C85" t="s">
        <v>59</v>
      </c>
      <c r="D85" t="s">
        <v>43</v>
      </c>
      <c r="E85">
        <v>40</v>
      </c>
      <c r="F85" t="s">
        <v>15</v>
      </c>
      <c r="G85" t="s">
        <v>33</v>
      </c>
      <c r="H85" s="6" t="s">
        <v>1705</v>
      </c>
      <c r="I85" s="11">
        <v>92412.49</v>
      </c>
      <c r="J85" t="s">
        <v>102</v>
      </c>
      <c r="K85">
        <v>-2296044326</v>
      </c>
      <c r="L85" t="s">
        <v>23</v>
      </c>
      <c r="M85" t="b">
        <v>1</v>
      </c>
      <c r="N85" s="17">
        <f t="shared" si="1"/>
        <v>44174</v>
      </c>
      <c r="O85" t="str">
        <f>LEFT(Table1[[#This Row],[Department_Region]], FIND("-", Table1[[#This Row],[Department_Region]]) - 1)</f>
        <v>DevOps</v>
      </c>
      <c r="P85" t="str">
        <f>RIGHT(Table1[[#This Row],[Department_Region]],LEN(Table1[[#This Row],[Department_Region]]) - FIND("-",Table1[[#This Row],[Department_Region]]))</f>
        <v>California</v>
      </c>
      <c r="Q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" s="15"/>
    </row>
    <row r="86" spans="1:18" x14ac:dyDescent="0.2">
      <c r="A86" s="1">
        <v>84</v>
      </c>
      <c r="B86" s="6" t="s">
        <v>248</v>
      </c>
      <c r="C86" t="s">
        <v>13</v>
      </c>
      <c r="D86" t="s">
        <v>14</v>
      </c>
      <c r="E86">
        <v>30</v>
      </c>
      <c r="F86" t="s">
        <v>141</v>
      </c>
      <c r="G86" t="s">
        <v>28</v>
      </c>
      <c r="H86" s="6" t="s">
        <v>249</v>
      </c>
      <c r="I86" s="11">
        <v>115022.1</v>
      </c>
      <c r="J86" t="s">
        <v>17</v>
      </c>
      <c r="K86">
        <v>-185106793</v>
      </c>
      <c r="L86" t="s">
        <v>30</v>
      </c>
      <c r="M86" t="b">
        <v>0</v>
      </c>
      <c r="N86" s="17">
        <f t="shared" si="1"/>
        <v>43883</v>
      </c>
      <c r="O86" t="str">
        <f>LEFT(Table1[[#This Row],[Department_Region]], FIND("-", Table1[[#This Row],[Department_Region]]) - 1)</f>
        <v>HR</v>
      </c>
      <c r="P86" t="str">
        <f>RIGHT(Table1[[#This Row],[Department_Region]],LEN(Table1[[#This Row],[Department_Region]]) - FIND("-",Table1[[#This Row],[Department_Region]]))</f>
        <v>Texas</v>
      </c>
      <c r="Q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6" s="15"/>
    </row>
    <row r="87" spans="1:18" x14ac:dyDescent="0.2">
      <c r="A87" s="1">
        <v>85</v>
      </c>
      <c r="B87" s="6" t="s">
        <v>250</v>
      </c>
      <c r="C87" t="s">
        <v>69</v>
      </c>
      <c r="D87" t="s">
        <v>38</v>
      </c>
      <c r="E87">
        <v>40</v>
      </c>
      <c r="F87" t="s">
        <v>56</v>
      </c>
      <c r="G87" t="s">
        <v>16</v>
      </c>
      <c r="H87" s="6" t="s">
        <v>251</v>
      </c>
      <c r="I87" s="11">
        <v>98343.01</v>
      </c>
      <c r="J87" t="s">
        <v>72</v>
      </c>
      <c r="K87">
        <v>-9756792286</v>
      </c>
      <c r="L87" t="s">
        <v>41</v>
      </c>
      <c r="M87" t="b">
        <v>0</v>
      </c>
      <c r="N87" s="17">
        <f t="shared" si="1"/>
        <v>45043</v>
      </c>
      <c r="O87" t="str">
        <f>LEFT(Table1[[#This Row],[Department_Region]], FIND("-", Table1[[#This Row],[Department_Region]]) - 1)</f>
        <v>DevOps</v>
      </c>
      <c r="P87" t="str">
        <f>RIGHT(Table1[[#This Row],[Department_Region]],LEN(Table1[[#This Row],[Department_Region]]) - FIND("-",Table1[[#This Row],[Department_Region]]))</f>
        <v>New York</v>
      </c>
      <c r="Q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" s="15"/>
    </row>
    <row r="88" spans="1:18" x14ac:dyDescent="0.2">
      <c r="A88" s="1">
        <v>86</v>
      </c>
      <c r="B88" s="6" t="s">
        <v>252</v>
      </c>
      <c r="C88" t="s">
        <v>13</v>
      </c>
      <c r="D88" t="s">
        <v>93</v>
      </c>
      <c r="E88">
        <v>35</v>
      </c>
      <c r="F88" t="s">
        <v>79</v>
      </c>
      <c r="G88" t="s">
        <v>16</v>
      </c>
      <c r="H88" s="6" t="s">
        <v>253</v>
      </c>
      <c r="I88" s="11">
        <v>118869.1</v>
      </c>
      <c r="J88" t="s">
        <v>94</v>
      </c>
      <c r="K88">
        <v>-7725199662</v>
      </c>
      <c r="L88" t="s">
        <v>23</v>
      </c>
      <c r="M88" t="b">
        <v>1</v>
      </c>
      <c r="N88" s="17">
        <f t="shared" si="1"/>
        <v>45461</v>
      </c>
      <c r="O88" t="str">
        <f>LEFT(Table1[[#This Row],[Department_Region]], FIND("-", Table1[[#This Row],[Department_Region]]) - 1)</f>
        <v>DevOps</v>
      </c>
      <c r="P88" t="str">
        <f>RIGHT(Table1[[#This Row],[Department_Region]],LEN(Table1[[#This Row],[Department_Region]]) - FIND("-",Table1[[#This Row],[Department_Region]]))</f>
        <v>Illinois</v>
      </c>
      <c r="Q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8" s="15"/>
    </row>
    <row r="89" spans="1:18" x14ac:dyDescent="0.2">
      <c r="A89" s="1">
        <v>87</v>
      </c>
      <c r="B89" s="6" t="s">
        <v>254</v>
      </c>
      <c r="C89" t="s">
        <v>37</v>
      </c>
      <c r="D89" t="s">
        <v>124</v>
      </c>
      <c r="E89">
        <v>32</v>
      </c>
      <c r="F89" t="s">
        <v>101</v>
      </c>
      <c r="G89" t="s">
        <v>33</v>
      </c>
      <c r="H89" s="6" t="s">
        <v>255</v>
      </c>
      <c r="I89" s="11">
        <v>85417.26</v>
      </c>
      <c r="J89" t="s">
        <v>139</v>
      </c>
      <c r="K89">
        <v>-6580741208</v>
      </c>
      <c r="L89" t="s">
        <v>30</v>
      </c>
      <c r="M89" t="b">
        <v>1</v>
      </c>
      <c r="N89" s="17">
        <f t="shared" si="1"/>
        <v>43972</v>
      </c>
      <c r="O89" t="str">
        <f>LEFT(Table1[[#This Row],[Department_Region]], FIND("-", Table1[[#This Row],[Department_Region]]) - 1)</f>
        <v>Finance</v>
      </c>
      <c r="P89" t="str">
        <f>RIGHT(Table1[[#This Row],[Department_Region]],LEN(Table1[[#This Row],[Department_Region]]) - FIND("-",Table1[[#This Row],[Department_Region]]))</f>
        <v>Nevada</v>
      </c>
      <c r="Q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" s="15"/>
    </row>
    <row r="90" spans="1:18" x14ac:dyDescent="0.2">
      <c r="A90" s="1">
        <v>88</v>
      </c>
      <c r="B90" s="6" t="s">
        <v>256</v>
      </c>
      <c r="C90" t="s">
        <v>69</v>
      </c>
      <c r="D90" t="s">
        <v>20</v>
      </c>
      <c r="E90">
        <v>40</v>
      </c>
      <c r="F90" t="s">
        <v>39</v>
      </c>
      <c r="G90" t="s">
        <v>33</v>
      </c>
      <c r="H90" s="6" t="s">
        <v>257</v>
      </c>
      <c r="I90" s="11">
        <v>112410.25</v>
      </c>
      <c r="J90" t="s">
        <v>204</v>
      </c>
      <c r="K90">
        <v>-4818139889</v>
      </c>
      <c r="L90" t="s">
        <v>30</v>
      </c>
      <c r="M90" t="b">
        <v>1</v>
      </c>
      <c r="N90" s="17">
        <f t="shared" si="1"/>
        <v>45132</v>
      </c>
      <c r="O90" t="str">
        <f>LEFT(Table1[[#This Row],[Department_Region]], FIND("-", Table1[[#This Row],[Department_Region]]) - 1)</f>
        <v>Cloud Tech</v>
      </c>
      <c r="P90" t="str">
        <f>RIGHT(Table1[[#This Row],[Department_Region]],LEN(Table1[[#This Row],[Department_Region]]) - FIND("-",Table1[[#This Row],[Department_Region]]))</f>
        <v>Florida</v>
      </c>
      <c r="Q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0" s="15"/>
    </row>
    <row r="91" spans="1:18" x14ac:dyDescent="0.2">
      <c r="A91" s="1">
        <v>89</v>
      </c>
      <c r="B91" s="6" t="s">
        <v>258</v>
      </c>
      <c r="C91" t="s">
        <v>54</v>
      </c>
      <c r="D91" t="s">
        <v>55</v>
      </c>
      <c r="E91">
        <v>40</v>
      </c>
      <c r="F91" t="s">
        <v>27</v>
      </c>
      <c r="G91" t="s">
        <v>28</v>
      </c>
      <c r="H91" s="6" t="s">
        <v>259</v>
      </c>
      <c r="I91" s="11">
        <v>68905.77</v>
      </c>
      <c r="J91" t="s">
        <v>57</v>
      </c>
      <c r="K91">
        <v>-9837801819</v>
      </c>
      <c r="L91" t="s">
        <v>18</v>
      </c>
      <c r="M91" t="b">
        <v>0</v>
      </c>
      <c r="N91" s="17">
        <f t="shared" si="1"/>
        <v>45163</v>
      </c>
      <c r="O91" t="str">
        <f>LEFT(Table1[[#This Row],[Department_Region]], FIND("-", Table1[[#This Row],[Department_Region]]) - 1)</f>
        <v>Admin</v>
      </c>
      <c r="P91" t="str">
        <f>RIGHT(Table1[[#This Row],[Department_Region]],LEN(Table1[[#This Row],[Department_Region]]) - FIND("-",Table1[[#This Row],[Department_Region]]))</f>
        <v>Nevada</v>
      </c>
      <c r="Q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1" s="15"/>
    </row>
    <row r="92" spans="1:18" x14ac:dyDescent="0.2">
      <c r="A92" s="1">
        <v>90</v>
      </c>
      <c r="B92" s="6" t="s">
        <v>260</v>
      </c>
      <c r="C92" t="s">
        <v>65</v>
      </c>
      <c r="D92" t="s">
        <v>43</v>
      </c>
      <c r="E92">
        <v>40</v>
      </c>
      <c r="F92" t="s">
        <v>101</v>
      </c>
      <c r="G92" t="s">
        <v>28</v>
      </c>
      <c r="H92" s="6" t="s">
        <v>1706</v>
      </c>
      <c r="I92" s="11">
        <v>72561.320000000007</v>
      </c>
      <c r="J92" t="s">
        <v>261</v>
      </c>
      <c r="K92">
        <v>-4339718955</v>
      </c>
      <c r="L92" t="s">
        <v>23</v>
      </c>
      <c r="M92" t="b">
        <v>1</v>
      </c>
      <c r="N92" s="17">
        <f t="shared" si="1"/>
        <v>44380</v>
      </c>
      <c r="O92" t="str">
        <f>LEFT(Table1[[#This Row],[Department_Region]], FIND("-", Table1[[#This Row],[Department_Region]]) - 1)</f>
        <v>Finance</v>
      </c>
      <c r="P92" t="str">
        <f>RIGHT(Table1[[#This Row],[Department_Region]],LEN(Table1[[#This Row],[Department_Region]]) - FIND("-",Table1[[#This Row],[Department_Region]]))</f>
        <v>Nevada</v>
      </c>
      <c r="Q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" s="15"/>
    </row>
    <row r="93" spans="1:18" x14ac:dyDescent="0.2">
      <c r="A93" s="1">
        <v>91</v>
      </c>
      <c r="B93" s="6" t="s">
        <v>262</v>
      </c>
      <c r="C93" t="s">
        <v>13</v>
      </c>
      <c r="D93" t="s">
        <v>20</v>
      </c>
      <c r="E93">
        <v>35</v>
      </c>
      <c r="F93" t="s">
        <v>230</v>
      </c>
      <c r="G93" t="s">
        <v>33</v>
      </c>
      <c r="H93" s="6" t="s">
        <v>263</v>
      </c>
      <c r="I93" s="11">
        <v>92723.22</v>
      </c>
      <c r="J93" t="s">
        <v>22</v>
      </c>
      <c r="K93">
        <v>-9070562607</v>
      </c>
      <c r="L93" t="s">
        <v>23</v>
      </c>
      <c r="M93" t="b">
        <v>1</v>
      </c>
      <c r="N93" s="17">
        <f t="shared" si="1"/>
        <v>44998</v>
      </c>
      <c r="O93" t="str">
        <f>LEFT(Table1[[#This Row],[Department_Region]], FIND("-", Table1[[#This Row],[Department_Region]]) - 1)</f>
        <v>Finance</v>
      </c>
      <c r="P93" t="str">
        <f>RIGHT(Table1[[#This Row],[Department_Region]],LEN(Table1[[#This Row],[Department_Region]]) - FIND("-",Table1[[#This Row],[Department_Region]]))</f>
        <v>New York</v>
      </c>
      <c r="Q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" s="15"/>
    </row>
    <row r="94" spans="1:18" x14ac:dyDescent="0.2">
      <c r="A94" s="1">
        <v>92</v>
      </c>
      <c r="B94" s="6" t="s">
        <v>264</v>
      </c>
      <c r="C94" t="s">
        <v>25</v>
      </c>
      <c r="D94" t="s">
        <v>55</v>
      </c>
      <c r="E94">
        <v>40</v>
      </c>
      <c r="F94" t="s">
        <v>66</v>
      </c>
      <c r="G94" t="s">
        <v>33</v>
      </c>
      <c r="H94" s="6" t="s">
        <v>1707</v>
      </c>
      <c r="I94" s="11">
        <v>74837.75</v>
      </c>
      <c r="J94" t="s">
        <v>152</v>
      </c>
      <c r="K94">
        <v>-5641118241</v>
      </c>
      <c r="L94" t="s">
        <v>41</v>
      </c>
      <c r="M94" t="b">
        <v>0</v>
      </c>
      <c r="N94" s="17">
        <f t="shared" si="1"/>
        <v>44265</v>
      </c>
      <c r="O94" t="str">
        <f>LEFT(Table1[[#This Row],[Department_Region]], FIND("-", Table1[[#This Row],[Department_Region]]) - 1)</f>
        <v>HR</v>
      </c>
      <c r="P94" t="str">
        <f>RIGHT(Table1[[#This Row],[Department_Region]],LEN(Table1[[#This Row],[Department_Region]]) - FIND("-",Table1[[#This Row],[Department_Region]]))</f>
        <v>New York</v>
      </c>
      <c r="Q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4" s="15"/>
    </row>
    <row r="95" spans="1:18" x14ac:dyDescent="0.2">
      <c r="A95" s="1">
        <v>93</v>
      </c>
      <c r="B95" s="6" t="s">
        <v>265</v>
      </c>
      <c r="C95" t="s">
        <v>32</v>
      </c>
      <c r="D95" t="s">
        <v>93</v>
      </c>
      <c r="E95">
        <v>32</v>
      </c>
      <c r="F95" t="s">
        <v>15</v>
      </c>
      <c r="G95" t="s">
        <v>28</v>
      </c>
      <c r="H95" s="6" t="s">
        <v>266</v>
      </c>
      <c r="I95" s="11">
        <v>86163.91</v>
      </c>
      <c r="J95" t="s">
        <v>267</v>
      </c>
      <c r="K95">
        <v>-2412462094</v>
      </c>
      <c r="L95" t="s">
        <v>18</v>
      </c>
      <c r="M95" t="b">
        <v>1</v>
      </c>
      <c r="N95" s="17">
        <f t="shared" si="1"/>
        <v>43851</v>
      </c>
      <c r="O95" t="str">
        <f>LEFT(Table1[[#This Row],[Department_Region]], FIND("-", Table1[[#This Row],[Department_Region]]) - 1)</f>
        <v>DevOps</v>
      </c>
      <c r="P95" t="str">
        <f>RIGHT(Table1[[#This Row],[Department_Region]],LEN(Table1[[#This Row],[Department_Region]]) - FIND("-",Table1[[#This Row],[Department_Region]]))</f>
        <v>California</v>
      </c>
      <c r="Q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5" s="15"/>
    </row>
    <row r="96" spans="1:18" x14ac:dyDescent="0.2">
      <c r="A96" s="1">
        <v>94</v>
      </c>
      <c r="B96" s="6" t="s">
        <v>268</v>
      </c>
      <c r="C96" t="s">
        <v>59</v>
      </c>
      <c r="D96" t="s">
        <v>93</v>
      </c>
      <c r="E96">
        <v>40</v>
      </c>
      <c r="F96" t="s">
        <v>269</v>
      </c>
      <c r="G96" t="s">
        <v>16</v>
      </c>
      <c r="H96" s="6" t="s">
        <v>270</v>
      </c>
      <c r="I96" s="11">
        <v>83326.52</v>
      </c>
      <c r="J96" t="s">
        <v>108</v>
      </c>
      <c r="K96">
        <v>-2004615264</v>
      </c>
      <c r="L96" t="s">
        <v>18</v>
      </c>
      <c r="M96" t="b">
        <v>1</v>
      </c>
      <c r="N96" s="17">
        <f t="shared" si="1"/>
        <v>45245</v>
      </c>
      <c r="O96" t="str">
        <f>LEFT(Table1[[#This Row],[Department_Region]], FIND("-", Table1[[#This Row],[Department_Region]]) - 1)</f>
        <v>Finance</v>
      </c>
      <c r="P96" t="str">
        <f>RIGHT(Table1[[#This Row],[Department_Region]],LEN(Table1[[#This Row],[Department_Region]]) - FIND("-",Table1[[#This Row],[Department_Region]]))</f>
        <v>Illinois</v>
      </c>
      <c r="Q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6" s="15"/>
    </row>
    <row r="97" spans="1:18" x14ac:dyDescent="0.2">
      <c r="A97" s="1">
        <v>95</v>
      </c>
      <c r="B97" s="6" t="s">
        <v>271</v>
      </c>
      <c r="C97" t="s">
        <v>65</v>
      </c>
      <c r="D97" t="s">
        <v>93</v>
      </c>
      <c r="E97">
        <v>25</v>
      </c>
      <c r="F97" t="s">
        <v>272</v>
      </c>
      <c r="G97" t="s">
        <v>16</v>
      </c>
      <c r="H97" s="6" t="s">
        <v>1708</v>
      </c>
      <c r="I97" s="11">
        <v>98425.1</v>
      </c>
      <c r="J97" t="s">
        <v>132</v>
      </c>
      <c r="K97">
        <v>-4610339936</v>
      </c>
      <c r="L97" t="s">
        <v>18</v>
      </c>
      <c r="M97" t="b">
        <v>1</v>
      </c>
      <c r="N97" s="17">
        <f t="shared" si="1"/>
        <v>44659</v>
      </c>
      <c r="O97" t="str">
        <f>LEFT(Table1[[#This Row],[Department_Region]], FIND("-", Table1[[#This Row],[Department_Region]]) - 1)</f>
        <v>Cloud Tech</v>
      </c>
      <c r="P97" t="str">
        <f>RIGHT(Table1[[#This Row],[Department_Region]],LEN(Table1[[#This Row],[Department_Region]]) - FIND("-",Table1[[#This Row],[Department_Region]]))</f>
        <v>California</v>
      </c>
      <c r="Q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7" s="15"/>
    </row>
    <row r="98" spans="1:18" x14ac:dyDescent="0.2">
      <c r="A98" s="1">
        <v>96</v>
      </c>
      <c r="B98" s="6" t="s">
        <v>273</v>
      </c>
      <c r="C98" t="s">
        <v>37</v>
      </c>
      <c r="D98" t="s">
        <v>55</v>
      </c>
      <c r="E98">
        <v>40</v>
      </c>
      <c r="F98" t="s">
        <v>99</v>
      </c>
      <c r="G98" t="s">
        <v>33</v>
      </c>
      <c r="H98" s="6" t="s">
        <v>274</v>
      </c>
      <c r="I98" s="11">
        <v>119764.2</v>
      </c>
      <c r="J98" t="s">
        <v>275</v>
      </c>
      <c r="K98">
        <v>-8861405785</v>
      </c>
      <c r="L98" t="s">
        <v>18</v>
      </c>
      <c r="M98" t="b">
        <v>0</v>
      </c>
      <c r="N98" s="17">
        <f t="shared" si="1"/>
        <v>44702</v>
      </c>
      <c r="O98" t="str">
        <f>LEFT(Table1[[#This Row],[Department_Region]], FIND("-", Table1[[#This Row],[Department_Region]]) - 1)</f>
        <v>Sales</v>
      </c>
      <c r="P98" t="str">
        <f>RIGHT(Table1[[#This Row],[Department_Region]],LEN(Table1[[#This Row],[Department_Region]]) - FIND("-",Table1[[#This Row],[Department_Region]]))</f>
        <v>Illinois</v>
      </c>
      <c r="Q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8" s="15"/>
    </row>
    <row r="99" spans="1:18" x14ac:dyDescent="0.2">
      <c r="A99" s="1">
        <v>97</v>
      </c>
      <c r="B99" s="6" t="s">
        <v>276</v>
      </c>
      <c r="C99" t="s">
        <v>37</v>
      </c>
      <c r="D99" t="s">
        <v>20</v>
      </c>
      <c r="E99">
        <v>40</v>
      </c>
      <c r="F99" t="s">
        <v>148</v>
      </c>
      <c r="G99" t="s">
        <v>33</v>
      </c>
      <c r="H99" s="6" t="s">
        <v>277</v>
      </c>
      <c r="I99" s="11">
        <v>58445.91</v>
      </c>
      <c r="J99" t="s">
        <v>243</v>
      </c>
      <c r="K99">
        <v>-1706304890</v>
      </c>
      <c r="L99" t="s">
        <v>23</v>
      </c>
      <c r="M99" t="b">
        <v>0</v>
      </c>
      <c r="N99" s="17">
        <f t="shared" si="1"/>
        <v>44303</v>
      </c>
      <c r="O99" t="str">
        <f>LEFT(Table1[[#This Row],[Department_Region]], FIND("-", Table1[[#This Row],[Department_Region]]) - 1)</f>
        <v>HR</v>
      </c>
      <c r="P99" t="str">
        <f>RIGHT(Table1[[#This Row],[Department_Region]],LEN(Table1[[#This Row],[Department_Region]]) - FIND("-",Table1[[#This Row],[Department_Region]]))</f>
        <v>California</v>
      </c>
      <c r="Q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9" s="15"/>
    </row>
    <row r="100" spans="1:18" x14ac:dyDescent="0.2">
      <c r="A100" s="1">
        <v>98</v>
      </c>
      <c r="B100" s="6" t="s">
        <v>278</v>
      </c>
      <c r="C100" t="s">
        <v>13</v>
      </c>
      <c r="D100" t="s">
        <v>93</v>
      </c>
      <c r="E100">
        <v>32</v>
      </c>
      <c r="F100" t="s">
        <v>56</v>
      </c>
      <c r="G100" t="s">
        <v>16</v>
      </c>
      <c r="H100" s="6" t="s">
        <v>279</v>
      </c>
      <c r="I100" s="11">
        <v>101702.33</v>
      </c>
      <c r="J100" t="s">
        <v>94</v>
      </c>
      <c r="K100">
        <v>-3824967182</v>
      </c>
      <c r="L100" t="s">
        <v>23</v>
      </c>
      <c r="M100" t="b">
        <v>0</v>
      </c>
      <c r="N100" s="17">
        <f t="shared" si="1"/>
        <v>44274</v>
      </c>
      <c r="O100" t="str">
        <f>LEFT(Table1[[#This Row],[Department_Region]], FIND("-", Table1[[#This Row],[Department_Region]]) - 1)</f>
        <v>DevOps</v>
      </c>
      <c r="P100" t="str">
        <f>RIGHT(Table1[[#This Row],[Department_Region]],LEN(Table1[[#This Row],[Department_Region]]) - FIND("-",Table1[[#This Row],[Department_Region]]))</f>
        <v>New York</v>
      </c>
      <c r="Q1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0" s="15"/>
    </row>
    <row r="101" spans="1:18" x14ac:dyDescent="0.2">
      <c r="A101" s="1">
        <v>99</v>
      </c>
      <c r="B101" s="6" t="s">
        <v>280</v>
      </c>
      <c r="C101" t="s">
        <v>32</v>
      </c>
      <c r="D101" t="s">
        <v>26</v>
      </c>
      <c r="E101">
        <v>25</v>
      </c>
      <c r="F101" t="s">
        <v>120</v>
      </c>
      <c r="G101" t="s">
        <v>16</v>
      </c>
      <c r="H101" s="6" t="s">
        <v>1709</v>
      </c>
      <c r="I101" s="11">
        <v>85165.05</v>
      </c>
      <c r="J101" t="s">
        <v>281</v>
      </c>
      <c r="K101">
        <v>-2582386869</v>
      </c>
      <c r="L101" t="s">
        <v>30</v>
      </c>
      <c r="M101" t="b">
        <v>0</v>
      </c>
      <c r="N101" s="17">
        <f t="shared" si="1"/>
        <v>44570</v>
      </c>
      <c r="O101" t="str">
        <f>LEFT(Table1[[#This Row],[Department_Region]], FIND("-", Table1[[#This Row],[Department_Region]]) - 1)</f>
        <v>Admin</v>
      </c>
      <c r="P101" t="str">
        <f>RIGHT(Table1[[#This Row],[Department_Region]],LEN(Table1[[#This Row],[Department_Region]]) - FIND("-",Table1[[#This Row],[Department_Region]]))</f>
        <v>California</v>
      </c>
      <c r="Q1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1" s="15"/>
    </row>
    <row r="102" spans="1:18" x14ac:dyDescent="0.2">
      <c r="A102" s="1">
        <v>100</v>
      </c>
      <c r="B102" s="6" t="s">
        <v>282</v>
      </c>
      <c r="C102" t="s">
        <v>54</v>
      </c>
      <c r="D102" t="s">
        <v>14</v>
      </c>
      <c r="E102">
        <v>35</v>
      </c>
      <c r="F102" t="s">
        <v>161</v>
      </c>
      <c r="G102" t="s">
        <v>28</v>
      </c>
      <c r="H102" s="6" t="s">
        <v>283</v>
      </c>
      <c r="I102" s="11">
        <v>98819.22</v>
      </c>
      <c r="J102" t="s">
        <v>173</v>
      </c>
      <c r="K102">
        <v>-794200748</v>
      </c>
      <c r="L102" t="s">
        <v>30</v>
      </c>
      <c r="M102" t="b">
        <v>0</v>
      </c>
      <c r="N102" s="17">
        <f t="shared" si="1"/>
        <v>44429</v>
      </c>
      <c r="O102" t="str">
        <f>LEFT(Table1[[#This Row],[Department_Region]], FIND("-", Table1[[#This Row],[Department_Region]]) - 1)</f>
        <v>Cloud Tech</v>
      </c>
      <c r="P102" t="str">
        <f>RIGHT(Table1[[#This Row],[Department_Region]],LEN(Table1[[#This Row],[Department_Region]]) - FIND("-",Table1[[#This Row],[Department_Region]]))</f>
        <v>Texas</v>
      </c>
      <c r="Q1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2" s="15"/>
    </row>
    <row r="103" spans="1:18" x14ac:dyDescent="0.2">
      <c r="A103" s="1">
        <v>101</v>
      </c>
      <c r="B103" s="6" t="s">
        <v>284</v>
      </c>
      <c r="C103" t="s">
        <v>65</v>
      </c>
      <c r="D103" t="s">
        <v>55</v>
      </c>
      <c r="E103">
        <v>25</v>
      </c>
      <c r="F103" t="s">
        <v>96</v>
      </c>
      <c r="G103" t="s">
        <v>33</v>
      </c>
      <c r="H103" s="6" t="s">
        <v>285</v>
      </c>
      <c r="I103" s="11">
        <v>83509.990000000005</v>
      </c>
      <c r="J103" t="s">
        <v>114</v>
      </c>
      <c r="K103">
        <v>-4653984027</v>
      </c>
      <c r="L103" t="s">
        <v>18</v>
      </c>
      <c r="M103" t="b">
        <v>0</v>
      </c>
      <c r="N103" s="17">
        <f t="shared" si="1"/>
        <v>44792</v>
      </c>
      <c r="O103" t="str">
        <f>LEFT(Table1[[#This Row],[Department_Region]], FIND("-", Table1[[#This Row],[Department_Region]]) - 1)</f>
        <v>Cloud Tech</v>
      </c>
      <c r="P103" t="str">
        <f>RIGHT(Table1[[#This Row],[Department_Region]],LEN(Table1[[#This Row],[Department_Region]]) - FIND("-",Table1[[#This Row],[Department_Region]]))</f>
        <v>Illinois</v>
      </c>
      <c r="Q1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3" s="15"/>
    </row>
    <row r="104" spans="1:18" x14ac:dyDescent="0.2">
      <c r="A104" s="1">
        <v>102</v>
      </c>
      <c r="B104" s="6" t="s">
        <v>286</v>
      </c>
      <c r="C104" t="s">
        <v>25</v>
      </c>
      <c r="D104" t="s">
        <v>55</v>
      </c>
      <c r="E104">
        <v>35</v>
      </c>
      <c r="F104" t="s">
        <v>21</v>
      </c>
      <c r="G104" t="s">
        <v>16</v>
      </c>
      <c r="H104" s="6" t="s">
        <v>287</v>
      </c>
      <c r="I104" s="11">
        <v>84422.26</v>
      </c>
      <c r="J104" t="s">
        <v>152</v>
      </c>
      <c r="K104">
        <v>-9141612845</v>
      </c>
      <c r="L104" t="s">
        <v>18</v>
      </c>
      <c r="M104" t="b">
        <v>0</v>
      </c>
      <c r="N104" s="17">
        <f t="shared" si="1"/>
        <v>44651</v>
      </c>
      <c r="O104" t="str">
        <f>LEFT(Table1[[#This Row],[Department_Region]], FIND("-", Table1[[#This Row],[Department_Region]]) - 1)</f>
        <v>Finance</v>
      </c>
      <c r="P104" t="str">
        <f>RIGHT(Table1[[#This Row],[Department_Region]],LEN(Table1[[#This Row],[Department_Region]]) - FIND("-",Table1[[#This Row],[Department_Region]]))</f>
        <v>Texas</v>
      </c>
      <c r="Q1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4" s="15"/>
    </row>
    <row r="105" spans="1:18" x14ac:dyDescent="0.2">
      <c r="A105" s="1">
        <v>103</v>
      </c>
      <c r="B105" s="6" t="s">
        <v>288</v>
      </c>
      <c r="C105" t="s">
        <v>25</v>
      </c>
      <c r="D105" t="s">
        <v>20</v>
      </c>
      <c r="E105">
        <v>30</v>
      </c>
      <c r="F105" t="s">
        <v>90</v>
      </c>
      <c r="G105" t="s">
        <v>33</v>
      </c>
      <c r="H105" s="6" t="s">
        <v>289</v>
      </c>
      <c r="I105" s="11">
        <v>119574.27</v>
      </c>
      <c r="J105" t="s">
        <v>81</v>
      </c>
      <c r="K105">
        <v>-3985547434</v>
      </c>
      <c r="L105" t="s">
        <v>18</v>
      </c>
      <c r="M105" t="b">
        <v>1</v>
      </c>
      <c r="N105" s="17">
        <f t="shared" si="1"/>
        <v>44005</v>
      </c>
      <c r="O105" t="str">
        <f>LEFT(Table1[[#This Row],[Department_Region]], FIND("-", Table1[[#This Row],[Department_Region]]) - 1)</f>
        <v>Admin</v>
      </c>
      <c r="P105" t="str">
        <f>RIGHT(Table1[[#This Row],[Department_Region]],LEN(Table1[[#This Row],[Department_Region]]) - FIND("-",Table1[[#This Row],[Department_Region]]))</f>
        <v>Illinois</v>
      </c>
      <c r="Q1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5" s="15"/>
    </row>
    <row r="106" spans="1:18" x14ac:dyDescent="0.2">
      <c r="A106" s="1">
        <v>104</v>
      </c>
      <c r="B106" s="6" t="s">
        <v>290</v>
      </c>
      <c r="C106" t="s">
        <v>69</v>
      </c>
      <c r="D106" t="s">
        <v>55</v>
      </c>
      <c r="E106">
        <v>32</v>
      </c>
      <c r="F106" t="s">
        <v>99</v>
      </c>
      <c r="G106" t="s">
        <v>16</v>
      </c>
      <c r="H106" s="6" t="s">
        <v>1710</v>
      </c>
      <c r="I106" s="11">
        <v>86580.08</v>
      </c>
      <c r="J106" t="s">
        <v>129</v>
      </c>
      <c r="K106">
        <v>-5379502096</v>
      </c>
      <c r="L106" t="s">
        <v>30</v>
      </c>
      <c r="M106" t="b">
        <v>1</v>
      </c>
      <c r="N106" s="17">
        <f t="shared" si="1"/>
        <v>45419</v>
      </c>
      <c r="O106" t="str">
        <f>LEFT(Table1[[#This Row],[Department_Region]], FIND("-", Table1[[#This Row],[Department_Region]]) - 1)</f>
        <v>Sales</v>
      </c>
      <c r="P106" t="str">
        <f>RIGHT(Table1[[#This Row],[Department_Region]],LEN(Table1[[#This Row],[Department_Region]]) - FIND("-",Table1[[#This Row],[Department_Region]]))</f>
        <v>Illinois</v>
      </c>
      <c r="Q1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6" s="15"/>
    </row>
    <row r="107" spans="1:18" x14ac:dyDescent="0.2">
      <c r="A107" s="1">
        <v>105</v>
      </c>
      <c r="B107" s="6" t="s">
        <v>291</v>
      </c>
      <c r="C107" t="s">
        <v>65</v>
      </c>
      <c r="D107" t="s">
        <v>55</v>
      </c>
      <c r="E107">
        <v>35</v>
      </c>
      <c r="F107" t="s">
        <v>75</v>
      </c>
      <c r="G107" t="s">
        <v>33</v>
      </c>
      <c r="H107" s="6" t="s">
        <v>1711</v>
      </c>
      <c r="I107" s="11">
        <v>93471.91</v>
      </c>
      <c r="J107" t="s">
        <v>114</v>
      </c>
      <c r="K107">
        <v>-26876810</v>
      </c>
      <c r="L107" t="s">
        <v>41</v>
      </c>
      <c r="M107" t="b">
        <v>0</v>
      </c>
      <c r="N107" s="17">
        <f t="shared" si="1"/>
        <v>44995</v>
      </c>
      <c r="O107" t="str">
        <f>LEFT(Table1[[#This Row],[Department_Region]], FIND("-", Table1[[#This Row],[Department_Region]]) - 1)</f>
        <v>Sales</v>
      </c>
      <c r="P107" t="str">
        <f>RIGHT(Table1[[#This Row],[Department_Region]],LEN(Table1[[#This Row],[Department_Region]]) - FIND("-",Table1[[#This Row],[Department_Region]]))</f>
        <v>Florida</v>
      </c>
      <c r="Q1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7" s="15"/>
    </row>
    <row r="108" spans="1:18" x14ac:dyDescent="0.2">
      <c r="A108" s="1">
        <v>106</v>
      </c>
      <c r="B108" s="6" t="s">
        <v>292</v>
      </c>
      <c r="C108" t="s">
        <v>13</v>
      </c>
      <c r="D108" t="s">
        <v>93</v>
      </c>
      <c r="E108">
        <v>30</v>
      </c>
      <c r="F108" t="s">
        <v>56</v>
      </c>
      <c r="G108" t="s">
        <v>33</v>
      </c>
      <c r="H108" s="6" t="s">
        <v>293</v>
      </c>
      <c r="I108" s="11">
        <v>55683.12</v>
      </c>
      <c r="J108" t="s">
        <v>94</v>
      </c>
      <c r="K108">
        <v>-8071569561</v>
      </c>
      <c r="L108" t="s">
        <v>41</v>
      </c>
      <c r="M108" t="b">
        <v>1</v>
      </c>
      <c r="N108" s="17">
        <f t="shared" si="1"/>
        <v>45183</v>
      </c>
      <c r="O108" t="str">
        <f>LEFT(Table1[[#This Row],[Department_Region]], FIND("-", Table1[[#This Row],[Department_Region]]) - 1)</f>
        <v>DevOps</v>
      </c>
      <c r="P108" t="str">
        <f>RIGHT(Table1[[#This Row],[Department_Region]],LEN(Table1[[#This Row],[Department_Region]]) - FIND("-",Table1[[#This Row],[Department_Region]]))</f>
        <v>New York</v>
      </c>
      <c r="Q1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08" s="15"/>
    </row>
    <row r="109" spans="1:18" x14ac:dyDescent="0.2">
      <c r="A109" s="1">
        <v>107</v>
      </c>
      <c r="B109" s="6" t="s">
        <v>294</v>
      </c>
      <c r="C109" t="s">
        <v>13</v>
      </c>
      <c r="D109" t="s">
        <v>20</v>
      </c>
      <c r="E109">
        <v>30</v>
      </c>
      <c r="F109" t="s">
        <v>39</v>
      </c>
      <c r="G109" t="s">
        <v>33</v>
      </c>
      <c r="H109" s="6" t="s">
        <v>295</v>
      </c>
      <c r="I109" s="11">
        <v>91566.78</v>
      </c>
      <c r="J109" t="s">
        <v>22</v>
      </c>
      <c r="K109">
        <v>-175370303</v>
      </c>
      <c r="L109" t="s">
        <v>30</v>
      </c>
      <c r="M109" t="b">
        <v>1</v>
      </c>
      <c r="N109" s="17">
        <f t="shared" si="1"/>
        <v>45242</v>
      </c>
      <c r="O109" t="str">
        <f>LEFT(Table1[[#This Row],[Department_Region]], FIND("-", Table1[[#This Row],[Department_Region]]) - 1)</f>
        <v>Cloud Tech</v>
      </c>
      <c r="P109" t="str">
        <f>RIGHT(Table1[[#This Row],[Department_Region]],LEN(Table1[[#This Row],[Department_Region]]) - FIND("-",Table1[[#This Row],[Department_Region]]))</f>
        <v>Florida</v>
      </c>
      <c r="Q1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9" s="15"/>
    </row>
    <row r="110" spans="1:18" x14ac:dyDescent="0.2">
      <c r="A110" s="1">
        <v>108</v>
      </c>
      <c r="B110" s="6" t="s">
        <v>296</v>
      </c>
      <c r="C110" t="s">
        <v>59</v>
      </c>
      <c r="D110" t="s">
        <v>93</v>
      </c>
      <c r="E110">
        <v>35</v>
      </c>
      <c r="F110" t="s">
        <v>15</v>
      </c>
      <c r="G110" t="s">
        <v>28</v>
      </c>
      <c r="H110" s="6" t="s">
        <v>297</v>
      </c>
      <c r="I110" s="11">
        <v>81782.19</v>
      </c>
      <c r="J110" t="s">
        <v>108</v>
      </c>
      <c r="K110">
        <v>-5319433749</v>
      </c>
      <c r="L110" t="s">
        <v>30</v>
      </c>
      <c r="M110" t="b">
        <v>0</v>
      </c>
      <c r="N110" s="17">
        <f t="shared" si="1"/>
        <v>45591</v>
      </c>
      <c r="O110" t="str">
        <f>LEFT(Table1[[#This Row],[Department_Region]], FIND("-", Table1[[#This Row],[Department_Region]]) - 1)</f>
        <v>DevOps</v>
      </c>
      <c r="P110" t="str">
        <f>RIGHT(Table1[[#This Row],[Department_Region]],LEN(Table1[[#This Row],[Department_Region]]) - FIND("-",Table1[[#This Row],[Department_Region]]))</f>
        <v>California</v>
      </c>
      <c r="Q1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10" s="15"/>
    </row>
    <row r="111" spans="1:18" x14ac:dyDescent="0.2">
      <c r="A111" s="1">
        <v>109</v>
      </c>
      <c r="B111" s="6" t="s">
        <v>298</v>
      </c>
      <c r="C111" t="s">
        <v>32</v>
      </c>
      <c r="D111" t="s">
        <v>14</v>
      </c>
      <c r="E111">
        <v>32</v>
      </c>
      <c r="F111" t="s">
        <v>56</v>
      </c>
      <c r="G111" t="s">
        <v>33</v>
      </c>
      <c r="H111" s="6" t="s">
        <v>299</v>
      </c>
      <c r="I111" s="11">
        <v>88119.37</v>
      </c>
      <c r="J111" t="s">
        <v>35</v>
      </c>
      <c r="K111">
        <v>-4793036148</v>
      </c>
      <c r="L111" t="s">
        <v>30</v>
      </c>
      <c r="M111" t="b">
        <v>1</v>
      </c>
      <c r="N111" s="17">
        <f t="shared" si="1"/>
        <v>44066</v>
      </c>
      <c r="O111" t="str">
        <f>LEFT(Table1[[#This Row],[Department_Region]], FIND("-", Table1[[#This Row],[Department_Region]]) - 1)</f>
        <v>DevOps</v>
      </c>
      <c r="P111" t="str">
        <f>RIGHT(Table1[[#This Row],[Department_Region]],LEN(Table1[[#This Row],[Department_Region]]) - FIND("-",Table1[[#This Row],[Department_Region]]))</f>
        <v>New York</v>
      </c>
      <c r="Q1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11" s="15"/>
    </row>
    <row r="112" spans="1:18" x14ac:dyDescent="0.2">
      <c r="A112" s="1">
        <v>110</v>
      </c>
      <c r="B112" s="6" t="s">
        <v>300</v>
      </c>
      <c r="C112" t="s">
        <v>32</v>
      </c>
      <c r="D112" t="s">
        <v>43</v>
      </c>
      <c r="E112">
        <v>30</v>
      </c>
      <c r="F112" t="s">
        <v>161</v>
      </c>
      <c r="G112" t="s">
        <v>16</v>
      </c>
      <c r="H112" s="6" t="s">
        <v>1712</v>
      </c>
      <c r="I112" s="11">
        <v>71532.83</v>
      </c>
      <c r="J112" t="s">
        <v>301</v>
      </c>
      <c r="K112">
        <v>-8728399920</v>
      </c>
      <c r="L112" t="s">
        <v>30</v>
      </c>
      <c r="M112" t="b">
        <v>1</v>
      </c>
      <c r="N112" s="17">
        <f t="shared" si="1"/>
        <v>45454</v>
      </c>
      <c r="O112" t="str">
        <f>LEFT(Table1[[#This Row],[Department_Region]], FIND("-", Table1[[#This Row],[Department_Region]]) - 1)</f>
        <v>Cloud Tech</v>
      </c>
      <c r="P112" t="str">
        <f>RIGHT(Table1[[#This Row],[Department_Region]],LEN(Table1[[#This Row],[Department_Region]]) - FIND("-",Table1[[#This Row],[Department_Region]]))</f>
        <v>Texas</v>
      </c>
      <c r="Q1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12" s="15"/>
    </row>
    <row r="113" spans="1:18" x14ac:dyDescent="0.2">
      <c r="A113" s="1">
        <v>111</v>
      </c>
      <c r="B113" s="6" t="s">
        <v>302</v>
      </c>
      <c r="C113" t="s">
        <v>32</v>
      </c>
      <c r="D113" t="s">
        <v>14</v>
      </c>
      <c r="E113">
        <v>40</v>
      </c>
      <c r="F113" t="s">
        <v>39</v>
      </c>
      <c r="G113" t="s">
        <v>28</v>
      </c>
      <c r="H113" s="6" t="s">
        <v>303</v>
      </c>
      <c r="I113" s="11">
        <v>98981.36</v>
      </c>
      <c r="J113" t="s">
        <v>35</v>
      </c>
      <c r="K113">
        <v>-9212493842</v>
      </c>
      <c r="L113" t="s">
        <v>30</v>
      </c>
      <c r="M113" t="b">
        <v>1</v>
      </c>
      <c r="N113" s="17">
        <f t="shared" si="1"/>
        <v>44453</v>
      </c>
      <c r="O113" t="str">
        <f>LEFT(Table1[[#This Row],[Department_Region]], FIND("-", Table1[[#This Row],[Department_Region]]) - 1)</f>
        <v>Cloud Tech</v>
      </c>
      <c r="P113" t="str">
        <f>RIGHT(Table1[[#This Row],[Department_Region]],LEN(Table1[[#This Row],[Department_Region]]) - FIND("-",Table1[[#This Row],[Department_Region]]))</f>
        <v>Florida</v>
      </c>
      <c r="Q1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13" s="15"/>
    </row>
    <row r="114" spans="1:18" x14ac:dyDescent="0.2">
      <c r="A114" s="1">
        <v>112</v>
      </c>
      <c r="B114" s="6" t="s">
        <v>304</v>
      </c>
      <c r="C114" t="s">
        <v>65</v>
      </c>
      <c r="D114" t="s">
        <v>43</v>
      </c>
      <c r="E114">
        <v>40</v>
      </c>
      <c r="F114" t="s">
        <v>96</v>
      </c>
      <c r="G114" t="s">
        <v>16</v>
      </c>
      <c r="H114" s="6" t="s">
        <v>305</v>
      </c>
      <c r="I114" s="11">
        <v>80242.009999999995</v>
      </c>
      <c r="J114" t="s">
        <v>261</v>
      </c>
      <c r="K114">
        <v>-894870604</v>
      </c>
      <c r="L114" t="s">
        <v>30</v>
      </c>
      <c r="M114" t="b">
        <v>1</v>
      </c>
      <c r="N114" s="17">
        <f t="shared" si="1"/>
        <v>45652</v>
      </c>
      <c r="O114" t="str">
        <f>LEFT(Table1[[#This Row],[Department_Region]], FIND("-", Table1[[#This Row],[Department_Region]]) - 1)</f>
        <v>Cloud Tech</v>
      </c>
      <c r="P114" t="str">
        <f>RIGHT(Table1[[#This Row],[Department_Region]],LEN(Table1[[#This Row],[Department_Region]]) - FIND("-",Table1[[#This Row],[Department_Region]]))</f>
        <v>Illinois</v>
      </c>
      <c r="Q1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14" s="15"/>
    </row>
    <row r="115" spans="1:18" x14ac:dyDescent="0.2">
      <c r="A115" s="1">
        <v>113</v>
      </c>
      <c r="B115" s="6" t="s">
        <v>306</v>
      </c>
      <c r="C115" t="s">
        <v>32</v>
      </c>
      <c r="D115" t="s">
        <v>93</v>
      </c>
      <c r="E115">
        <v>25</v>
      </c>
      <c r="F115" t="s">
        <v>60</v>
      </c>
      <c r="G115" t="s">
        <v>28</v>
      </c>
      <c r="H115" s="6" t="s">
        <v>1713</v>
      </c>
      <c r="I115" s="11">
        <v>110236.18</v>
      </c>
      <c r="J115" t="s">
        <v>267</v>
      </c>
      <c r="K115">
        <v>-6641877579</v>
      </c>
      <c r="L115" t="s">
        <v>18</v>
      </c>
      <c r="M115" t="b">
        <v>1</v>
      </c>
      <c r="N115" s="17">
        <f t="shared" si="1"/>
        <v>45543</v>
      </c>
      <c r="O115" t="str">
        <f>LEFT(Table1[[#This Row],[Department_Region]], FIND("-", Table1[[#This Row],[Department_Region]]) - 1)</f>
        <v>Cloud Tech</v>
      </c>
      <c r="P115" t="str">
        <f>RIGHT(Table1[[#This Row],[Department_Region]],LEN(Table1[[#This Row],[Department_Region]]) - FIND("-",Table1[[#This Row],[Department_Region]]))</f>
        <v>New York</v>
      </c>
      <c r="Q1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15" s="15"/>
    </row>
    <row r="116" spans="1:18" x14ac:dyDescent="0.2">
      <c r="A116" s="1">
        <v>114</v>
      </c>
      <c r="B116" s="6" t="s">
        <v>307</v>
      </c>
      <c r="C116" t="s">
        <v>25</v>
      </c>
      <c r="D116" t="s">
        <v>14</v>
      </c>
      <c r="E116">
        <v>35</v>
      </c>
      <c r="F116" t="s">
        <v>44</v>
      </c>
      <c r="G116" t="s">
        <v>16</v>
      </c>
      <c r="H116" s="6" t="s">
        <v>308</v>
      </c>
      <c r="I116" s="11">
        <v>86327.47</v>
      </c>
      <c r="J116" t="s">
        <v>165</v>
      </c>
      <c r="K116">
        <v>-3046875062</v>
      </c>
      <c r="L116" t="s">
        <v>18</v>
      </c>
      <c r="M116" t="b">
        <v>0</v>
      </c>
      <c r="N116" s="17">
        <f t="shared" si="1"/>
        <v>44794</v>
      </c>
      <c r="O116" t="str">
        <f>LEFT(Table1[[#This Row],[Department_Region]], FIND("-", Table1[[#This Row],[Department_Region]]) - 1)</f>
        <v>Sales</v>
      </c>
      <c r="P116" t="str">
        <f>RIGHT(Table1[[#This Row],[Department_Region]],LEN(Table1[[#This Row],[Department_Region]]) - FIND("-",Table1[[#This Row],[Department_Region]]))</f>
        <v>Texas</v>
      </c>
      <c r="Q1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16" s="15"/>
    </row>
    <row r="117" spans="1:18" x14ac:dyDescent="0.2">
      <c r="A117" s="1">
        <v>115</v>
      </c>
      <c r="B117" s="6" t="s">
        <v>309</v>
      </c>
      <c r="C117" t="s">
        <v>32</v>
      </c>
      <c r="D117" t="s">
        <v>20</v>
      </c>
      <c r="E117">
        <v>30</v>
      </c>
      <c r="F117" t="s">
        <v>75</v>
      </c>
      <c r="G117" t="s">
        <v>28</v>
      </c>
      <c r="H117" s="6" t="s">
        <v>310</v>
      </c>
      <c r="I117" s="11">
        <v>84420.81</v>
      </c>
      <c r="J117" t="s">
        <v>157</v>
      </c>
      <c r="K117">
        <v>-5190361331</v>
      </c>
      <c r="L117" t="s">
        <v>18</v>
      </c>
      <c r="M117" t="b">
        <v>0</v>
      </c>
      <c r="N117" s="17">
        <f t="shared" si="1"/>
        <v>45498</v>
      </c>
      <c r="O117" t="str">
        <f>LEFT(Table1[[#This Row],[Department_Region]], FIND("-", Table1[[#This Row],[Department_Region]]) - 1)</f>
        <v>Sales</v>
      </c>
      <c r="P117" t="str">
        <f>RIGHT(Table1[[#This Row],[Department_Region]],LEN(Table1[[#This Row],[Department_Region]]) - FIND("-",Table1[[#This Row],[Department_Region]]))</f>
        <v>Florida</v>
      </c>
      <c r="Q1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17" s="15"/>
    </row>
    <row r="118" spans="1:18" x14ac:dyDescent="0.2">
      <c r="A118" s="1">
        <v>116</v>
      </c>
      <c r="B118" s="6" t="s">
        <v>311</v>
      </c>
      <c r="C118" t="s">
        <v>37</v>
      </c>
      <c r="D118" t="s">
        <v>124</v>
      </c>
      <c r="E118">
        <v>40</v>
      </c>
      <c r="F118" t="s">
        <v>148</v>
      </c>
      <c r="G118" t="s">
        <v>28</v>
      </c>
      <c r="H118" s="6" t="s">
        <v>1714</v>
      </c>
      <c r="I118" s="11">
        <v>110041.32</v>
      </c>
      <c r="J118" t="s">
        <v>139</v>
      </c>
      <c r="K118">
        <v>-5411076094</v>
      </c>
      <c r="L118" t="s">
        <v>18</v>
      </c>
      <c r="M118" t="b">
        <v>0</v>
      </c>
      <c r="N118" s="17">
        <f t="shared" si="1"/>
        <v>44045</v>
      </c>
      <c r="O118" t="str">
        <f>LEFT(Table1[[#This Row],[Department_Region]], FIND("-", Table1[[#This Row],[Department_Region]]) - 1)</f>
        <v>HR</v>
      </c>
      <c r="P118" t="str">
        <f>RIGHT(Table1[[#This Row],[Department_Region]],LEN(Table1[[#This Row],[Department_Region]]) - FIND("-",Table1[[#This Row],[Department_Region]]))</f>
        <v>California</v>
      </c>
      <c r="Q1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18" s="15"/>
    </row>
    <row r="119" spans="1:18" x14ac:dyDescent="0.2">
      <c r="A119" s="1">
        <v>117</v>
      </c>
      <c r="B119" s="6" t="s">
        <v>312</v>
      </c>
      <c r="C119" t="s">
        <v>65</v>
      </c>
      <c r="D119" t="s">
        <v>93</v>
      </c>
      <c r="E119">
        <v>35</v>
      </c>
      <c r="F119" t="s">
        <v>233</v>
      </c>
      <c r="G119" t="s">
        <v>28</v>
      </c>
      <c r="H119" s="6" t="s">
        <v>313</v>
      </c>
      <c r="I119" s="11">
        <v>81837.81</v>
      </c>
      <c r="J119" t="s">
        <v>132</v>
      </c>
      <c r="K119">
        <v>-4317350582</v>
      </c>
      <c r="L119" t="s">
        <v>30</v>
      </c>
      <c r="M119" t="b">
        <v>1</v>
      </c>
      <c r="N119" s="17">
        <f t="shared" si="1"/>
        <v>43906</v>
      </c>
      <c r="O119" t="str">
        <f>LEFT(Table1[[#This Row],[Department_Region]], FIND("-", Table1[[#This Row],[Department_Region]]) - 1)</f>
        <v>DevOps</v>
      </c>
      <c r="P119" t="str">
        <f>RIGHT(Table1[[#This Row],[Department_Region]],LEN(Table1[[#This Row],[Department_Region]]) - FIND("-",Table1[[#This Row],[Department_Region]]))</f>
        <v>Florida</v>
      </c>
      <c r="Q1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19" s="15"/>
    </row>
    <row r="120" spans="1:18" x14ac:dyDescent="0.2">
      <c r="A120" s="1">
        <v>118</v>
      </c>
      <c r="B120" s="6" t="s">
        <v>314</v>
      </c>
      <c r="C120" t="s">
        <v>37</v>
      </c>
      <c r="D120" t="s">
        <v>43</v>
      </c>
      <c r="E120">
        <v>25</v>
      </c>
      <c r="F120" t="s">
        <v>269</v>
      </c>
      <c r="G120" t="s">
        <v>16</v>
      </c>
      <c r="H120" s="6" t="s">
        <v>1715</v>
      </c>
      <c r="I120" s="11">
        <v>110855.72</v>
      </c>
      <c r="J120" t="s">
        <v>183</v>
      </c>
      <c r="K120">
        <v>-1997179109</v>
      </c>
      <c r="L120" t="s">
        <v>41</v>
      </c>
      <c r="M120" t="b">
        <v>0</v>
      </c>
      <c r="N120" s="17">
        <f t="shared" si="1"/>
        <v>45177</v>
      </c>
      <c r="O120" t="str">
        <f>LEFT(Table1[[#This Row],[Department_Region]], FIND("-", Table1[[#This Row],[Department_Region]]) - 1)</f>
        <v>Finance</v>
      </c>
      <c r="P120" t="str">
        <f>RIGHT(Table1[[#This Row],[Department_Region]],LEN(Table1[[#This Row],[Department_Region]]) - FIND("-",Table1[[#This Row],[Department_Region]]))</f>
        <v>Illinois</v>
      </c>
      <c r="Q1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20" s="15"/>
    </row>
    <row r="121" spans="1:18" x14ac:dyDescent="0.2">
      <c r="A121" s="1">
        <v>119</v>
      </c>
      <c r="B121" s="6" t="s">
        <v>315</v>
      </c>
      <c r="C121" t="s">
        <v>25</v>
      </c>
      <c r="D121" t="s">
        <v>26</v>
      </c>
      <c r="E121">
        <v>30</v>
      </c>
      <c r="F121" t="s">
        <v>180</v>
      </c>
      <c r="G121" t="s">
        <v>28</v>
      </c>
      <c r="H121" s="6" t="s">
        <v>316</v>
      </c>
      <c r="I121" s="11">
        <v>84894.52</v>
      </c>
      <c r="J121" t="s">
        <v>29</v>
      </c>
      <c r="K121">
        <v>-651207048</v>
      </c>
      <c r="L121" t="s">
        <v>23</v>
      </c>
      <c r="M121" t="b">
        <v>1</v>
      </c>
      <c r="N121" s="17">
        <f t="shared" si="1"/>
        <v>45380</v>
      </c>
      <c r="O121" t="str">
        <f>LEFT(Table1[[#This Row],[Department_Region]], FIND("-", Table1[[#This Row],[Department_Region]]) - 1)</f>
        <v>Sales</v>
      </c>
      <c r="P121" t="str">
        <f>RIGHT(Table1[[#This Row],[Department_Region]],LEN(Table1[[#This Row],[Department_Region]]) - FIND("-",Table1[[#This Row],[Department_Region]]))</f>
        <v>California</v>
      </c>
      <c r="Q1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21" s="15"/>
    </row>
    <row r="122" spans="1:18" x14ac:dyDescent="0.2">
      <c r="A122" s="1">
        <v>120</v>
      </c>
      <c r="B122" s="6" t="s">
        <v>317</v>
      </c>
      <c r="C122" t="s">
        <v>25</v>
      </c>
      <c r="D122" t="s">
        <v>43</v>
      </c>
      <c r="E122">
        <v>30</v>
      </c>
      <c r="F122" t="s">
        <v>195</v>
      </c>
      <c r="G122" t="s">
        <v>16</v>
      </c>
      <c r="H122" s="6" t="s">
        <v>1716</v>
      </c>
      <c r="I122" s="11">
        <v>80668.13</v>
      </c>
      <c r="J122" t="s">
        <v>45</v>
      </c>
      <c r="K122">
        <v>-6110804660</v>
      </c>
      <c r="L122" t="s">
        <v>30</v>
      </c>
      <c r="M122" t="b">
        <v>1</v>
      </c>
      <c r="N122" s="17">
        <f t="shared" si="1"/>
        <v>44420</v>
      </c>
      <c r="O122" t="str">
        <f>LEFT(Table1[[#This Row],[Department_Region]], FIND("-", Table1[[#This Row],[Department_Region]]) - 1)</f>
        <v>HR</v>
      </c>
      <c r="P122" t="str">
        <f>RIGHT(Table1[[#This Row],[Department_Region]],LEN(Table1[[#This Row],[Department_Region]]) - FIND("-",Table1[[#This Row],[Department_Region]]))</f>
        <v>Illinois</v>
      </c>
      <c r="Q1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22" s="15"/>
    </row>
    <row r="123" spans="1:18" x14ac:dyDescent="0.2">
      <c r="A123" s="1">
        <v>121</v>
      </c>
      <c r="B123" s="6" t="s">
        <v>318</v>
      </c>
      <c r="C123" t="s">
        <v>13</v>
      </c>
      <c r="D123" t="s">
        <v>26</v>
      </c>
      <c r="E123">
        <v>25</v>
      </c>
      <c r="F123" t="s">
        <v>79</v>
      </c>
      <c r="G123" t="s">
        <v>16</v>
      </c>
      <c r="H123" s="6" t="s">
        <v>319</v>
      </c>
      <c r="I123" s="11">
        <v>61086.47</v>
      </c>
      <c r="J123" t="s">
        <v>50</v>
      </c>
      <c r="K123">
        <v>-9639907675</v>
      </c>
      <c r="L123" t="s">
        <v>23</v>
      </c>
      <c r="M123" t="b">
        <v>1</v>
      </c>
      <c r="N123" s="17">
        <f t="shared" si="1"/>
        <v>45284</v>
      </c>
      <c r="O123" t="str">
        <f>LEFT(Table1[[#This Row],[Department_Region]], FIND("-", Table1[[#This Row],[Department_Region]]) - 1)</f>
        <v>DevOps</v>
      </c>
      <c r="P123" t="str">
        <f>RIGHT(Table1[[#This Row],[Department_Region]],LEN(Table1[[#This Row],[Department_Region]]) - FIND("-",Table1[[#This Row],[Department_Region]]))</f>
        <v>Illinois</v>
      </c>
      <c r="Q1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23" s="15"/>
    </row>
    <row r="124" spans="1:18" x14ac:dyDescent="0.2">
      <c r="A124" s="1">
        <v>122</v>
      </c>
      <c r="B124" s="6" t="s">
        <v>320</v>
      </c>
      <c r="C124" t="s">
        <v>69</v>
      </c>
      <c r="D124" t="s">
        <v>55</v>
      </c>
      <c r="E124">
        <v>25</v>
      </c>
      <c r="F124" t="s">
        <v>104</v>
      </c>
      <c r="G124" t="s">
        <v>33</v>
      </c>
      <c r="H124" s="6" t="s">
        <v>321</v>
      </c>
      <c r="I124" s="11">
        <v>95339.68</v>
      </c>
      <c r="J124" t="s">
        <v>129</v>
      </c>
      <c r="K124">
        <v>-9915078592</v>
      </c>
      <c r="L124" t="s">
        <v>41</v>
      </c>
      <c r="M124" t="b">
        <v>1</v>
      </c>
      <c r="N124" s="17">
        <f t="shared" si="1"/>
        <v>44071</v>
      </c>
      <c r="O124" t="str">
        <f>LEFT(Table1[[#This Row],[Department_Region]], FIND("-", Table1[[#This Row],[Department_Region]]) - 1)</f>
        <v>Admin</v>
      </c>
      <c r="P124" t="str">
        <f>RIGHT(Table1[[#This Row],[Department_Region]],LEN(Table1[[#This Row],[Department_Region]]) - FIND("-",Table1[[#This Row],[Department_Region]]))</f>
        <v>Texas</v>
      </c>
      <c r="Q1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24" s="15"/>
    </row>
    <row r="125" spans="1:18" x14ac:dyDescent="0.2">
      <c r="A125" s="1">
        <v>123</v>
      </c>
      <c r="B125" s="6" t="s">
        <v>322</v>
      </c>
      <c r="C125" t="s">
        <v>32</v>
      </c>
      <c r="D125" t="s">
        <v>14</v>
      </c>
      <c r="E125">
        <v>32</v>
      </c>
      <c r="F125" t="s">
        <v>15</v>
      </c>
      <c r="G125" t="s">
        <v>33</v>
      </c>
      <c r="H125" s="6" t="s">
        <v>1717</v>
      </c>
      <c r="I125" s="11">
        <v>83774.97</v>
      </c>
      <c r="J125" t="s">
        <v>35</v>
      </c>
      <c r="K125">
        <v>-1109193927</v>
      </c>
      <c r="L125" t="s">
        <v>18</v>
      </c>
      <c r="M125" t="b">
        <v>0</v>
      </c>
      <c r="N125" s="17">
        <f t="shared" si="1"/>
        <v>45540</v>
      </c>
      <c r="O125" t="str">
        <f>LEFT(Table1[[#This Row],[Department_Region]], FIND("-", Table1[[#This Row],[Department_Region]]) - 1)</f>
        <v>DevOps</v>
      </c>
      <c r="P125" t="str">
        <f>RIGHT(Table1[[#This Row],[Department_Region]],LEN(Table1[[#This Row],[Department_Region]]) - FIND("-",Table1[[#This Row],[Department_Region]]))</f>
        <v>California</v>
      </c>
      <c r="Q1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25" s="15"/>
    </row>
    <row r="126" spans="1:18" x14ac:dyDescent="0.2">
      <c r="A126" s="1">
        <v>124</v>
      </c>
      <c r="B126" s="6" t="s">
        <v>323</v>
      </c>
      <c r="C126" t="s">
        <v>65</v>
      </c>
      <c r="D126" t="s">
        <v>26</v>
      </c>
      <c r="E126">
        <v>32</v>
      </c>
      <c r="F126" t="s">
        <v>208</v>
      </c>
      <c r="G126" t="s">
        <v>16</v>
      </c>
      <c r="H126" s="6" t="s">
        <v>1718</v>
      </c>
      <c r="I126" s="11">
        <v>85576.86</v>
      </c>
      <c r="J126" t="s">
        <v>324</v>
      </c>
      <c r="K126">
        <v>-4567972319</v>
      </c>
      <c r="L126" t="s">
        <v>41</v>
      </c>
      <c r="M126" t="b">
        <v>0</v>
      </c>
      <c r="N126" s="17">
        <f t="shared" si="1"/>
        <v>45058</v>
      </c>
      <c r="O126" t="str">
        <f>LEFT(Table1[[#This Row],[Department_Region]], FIND("-", Table1[[#This Row],[Department_Region]]) - 1)</f>
        <v>Admin</v>
      </c>
      <c r="P126" t="str">
        <f>RIGHT(Table1[[#This Row],[Department_Region]],LEN(Table1[[#This Row],[Department_Region]]) - FIND("-",Table1[[#This Row],[Department_Region]]))</f>
        <v>Florida</v>
      </c>
      <c r="Q1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26" s="15"/>
    </row>
    <row r="127" spans="1:18" x14ac:dyDescent="0.2">
      <c r="A127" s="1">
        <v>125</v>
      </c>
      <c r="B127" s="6" t="s">
        <v>325</v>
      </c>
      <c r="C127" t="s">
        <v>13</v>
      </c>
      <c r="D127" t="s">
        <v>43</v>
      </c>
      <c r="E127">
        <v>35</v>
      </c>
      <c r="F127" t="s">
        <v>70</v>
      </c>
      <c r="G127" t="s">
        <v>28</v>
      </c>
      <c r="H127" s="6" t="s">
        <v>1719</v>
      </c>
      <c r="I127" s="11">
        <v>107438.46</v>
      </c>
      <c r="J127" t="s">
        <v>155</v>
      </c>
      <c r="K127">
        <v>-249685497</v>
      </c>
      <c r="L127" t="s">
        <v>30</v>
      </c>
      <c r="M127" t="b">
        <v>1</v>
      </c>
      <c r="N127" s="17">
        <f t="shared" si="1"/>
        <v>44378</v>
      </c>
      <c r="O127" t="str">
        <f>LEFT(Table1[[#This Row],[Department_Region]], FIND("-", Table1[[#This Row],[Department_Region]]) - 1)</f>
        <v>Finance</v>
      </c>
      <c r="P127" t="str">
        <f>RIGHT(Table1[[#This Row],[Department_Region]],LEN(Table1[[#This Row],[Department_Region]]) - FIND("-",Table1[[#This Row],[Department_Region]]))</f>
        <v>California</v>
      </c>
      <c r="Q1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27" s="15"/>
    </row>
    <row r="128" spans="1:18" x14ac:dyDescent="0.2">
      <c r="A128" s="1">
        <v>126</v>
      </c>
      <c r="B128" s="6" t="s">
        <v>326</v>
      </c>
      <c r="C128" t="s">
        <v>32</v>
      </c>
      <c r="D128" t="s">
        <v>55</v>
      </c>
      <c r="E128">
        <v>32</v>
      </c>
      <c r="F128" t="s">
        <v>222</v>
      </c>
      <c r="G128" t="s">
        <v>33</v>
      </c>
      <c r="H128" s="6" t="s">
        <v>1720</v>
      </c>
      <c r="I128" s="11">
        <v>60401.68</v>
      </c>
      <c r="J128" t="s">
        <v>327</v>
      </c>
      <c r="K128">
        <v>-2274954507</v>
      </c>
      <c r="L128" t="s">
        <v>18</v>
      </c>
      <c r="M128" t="b">
        <v>0</v>
      </c>
      <c r="N128" s="17">
        <f t="shared" si="1"/>
        <v>45603</v>
      </c>
      <c r="O128" t="str">
        <f>LEFT(Table1[[#This Row],[Department_Region]], FIND("-", Table1[[#This Row],[Department_Region]]) - 1)</f>
        <v>Sales</v>
      </c>
      <c r="P128" t="str">
        <f>RIGHT(Table1[[#This Row],[Department_Region]],LEN(Table1[[#This Row],[Department_Region]]) - FIND("-",Table1[[#This Row],[Department_Region]]))</f>
        <v>Nevada</v>
      </c>
      <c r="Q1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28" s="15"/>
    </row>
    <row r="129" spans="1:18" x14ac:dyDescent="0.2">
      <c r="A129" s="1">
        <v>127</v>
      </c>
      <c r="B129" s="6" t="s">
        <v>328</v>
      </c>
      <c r="C129" t="s">
        <v>37</v>
      </c>
      <c r="D129" t="s">
        <v>124</v>
      </c>
      <c r="E129">
        <v>35</v>
      </c>
      <c r="F129" t="s">
        <v>99</v>
      </c>
      <c r="G129" t="s">
        <v>33</v>
      </c>
      <c r="H129" s="6" t="s">
        <v>329</v>
      </c>
      <c r="I129" s="11">
        <v>115299.66</v>
      </c>
      <c r="J129" t="s">
        <v>139</v>
      </c>
      <c r="K129">
        <v>-9203880652</v>
      </c>
      <c r="L129" t="s">
        <v>30</v>
      </c>
      <c r="M129" t="b">
        <v>1</v>
      </c>
      <c r="N129" s="17">
        <f t="shared" si="1"/>
        <v>44763</v>
      </c>
      <c r="O129" t="str">
        <f>LEFT(Table1[[#This Row],[Department_Region]], FIND("-", Table1[[#This Row],[Department_Region]]) - 1)</f>
        <v>Sales</v>
      </c>
      <c r="P129" t="str">
        <f>RIGHT(Table1[[#This Row],[Department_Region]],LEN(Table1[[#This Row],[Department_Region]]) - FIND("-",Table1[[#This Row],[Department_Region]]))</f>
        <v>Illinois</v>
      </c>
      <c r="Q1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29" s="15"/>
    </row>
    <row r="130" spans="1:18" x14ac:dyDescent="0.2">
      <c r="A130" s="1">
        <v>128</v>
      </c>
      <c r="B130" s="6" t="s">
        <v>330</v>
      </c>
      <c r="C130" t="s">
        <v>59</v>
      </c>
      <c r="D130" t="s">
        <v>20</v>
      </c>
      <c r="E130">
        <v>32</v>
      </c>
      <c r="F130" t="s">
        <v>230</v>
      </c>
      <c r="G130" t="s">
        <v>33</v>
      </c>
      <c r="H130" s="6" t="s">
        <v>331</v>
      </c>
      <c r="I130" s="11">
        <v>72272.34</v>
      </c>
      <c r="J130" t="s">
        <v>228</v>
      </c>
      <c r="K130">
        <v>-3315377958</v>
      </c>
      <c r="L130" t="s">
        <v>18</v>
      </c>
      <c r="M130" t="b">
        <v>0</v>
      </c>
      <c r="N130" s="17">
        <f t="shared" ref="N130:N193" si="2">IF(ISNUMBER(H130), H130, DATE(RIGHT(H130, 4), LEFT(H130, FIND("/", H130) - 1), MID(H130, FIND("/", H130) + 1, FIND("/", H130, FIND("/", H130) + 1) - FIND("/", H130) - 1)))</f>
        <v>43920</v>
      </c>
      <c r="O130" t="str">
        <f>LEFT(Table1[[#This Row],[Department_Region]], FIND("-", Table1[[#This Row],[Department_Region]]) - 1)</f>
        <v>Finance</v>
      </c>
      <c r="P130" t="str">
        <f>RIGHT(Table1[[#This Row],[Department_Region]],LEN(Table1[[#This Row],[Department_Region]]) - FIND("-",Table1[[#This Row],[Department_Region]]))</f>
        <v>New York</v>
      </c>
      <c r="Q1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30" s="15"/>
    </row>
    <row r="131" spans="1:18" x14ac:dyDescent="0.2">
      <c r="A131" s="1">
        <v>129</v>
      </c>
      <c r="B131" s="6" t="s">
        <v>332</v>
      </c>
      <c r="C131" t="s">
        <v>69</v>
      </c>
      <c r="D131" t="s">
        <v>20</v>
      </c>
      <c r="E131">
        <v>40</v>
      </c>
      <c r="F131" t="s">
        <v>333</v>
      </c>
      <c r="G131" t="s">
        <v>16</v>
      </c>
      <c r="H131" s="6" t="s">
        <v>334</v>
      </c>
      <c r="I131" s="11">
        <v>117537.71</v>
      </c>
      <c r="J131" t="s">
        <v>204</v>
      </c>
      <c r="K131">
        <v>-9594652169</v>
      </c>
      <c r="L131" t="s">
        <v>23</v>
      </c>
      <c r="M131" t="b">
        <v>0</v>
      </c>
      <c r="N131" s="17">
        <f t="shared" si="2"/>
        <v>44845</v>
      </c>
      <c r="O131" t="str">
        <f>LEFT(Table1[[#This Row],[Department_Region]], FIND("-", Table1[[#This Row],[Department_Region]]) - 1)</f>
        <v>DevOps</v>
      </c>
      <c r="P131" t="str">
        <f>RIGHT(Table1[[#This Row],[Department_Region]],LEN(Table1[[#This Row],[Department_Region]]) - FIND("-",Table1[[#This Row],[Department_Region]]))</f>
        <v>Nevada</v>
      </c>
      <c r="Q1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31" s="15"/>
    </row>
    <row r="132" spans="1:18" x14ac:dyDescent="0.2">
      <c r="A132" s="1">
        <v>130</v>
      </c>
      <c r="B132" s="6" t="s">
        <v>335</v>
      </c>
      <c r="C132" t="s">
        <v>37</v>
      </c>
      <c r="D132" t="s">
        <v>20</v>
      </c>
      <c r="E132">
        <v>25</v>
      </c>
      <c r="F132" t="s">
        <v>21</v>
      </c>
      <c r="G132" t="s">
        <v>28</v>
      </c>
      <c r="H132" s="6" t="s">
        <v>336</v>
      </c>
      <c r="I132" s="11">
        <v>51074.33</v>
      </c>
      <c r="J132" t="s">
        <v>243</v>
      </c>
      <c r="K132">
        <v>-7303379336</v>
      </c>
      <c r="L132" t="s">
        <v>23</v>
      </c>
      <c r="M132" t="b">
        <v>1</v>
      </c>
      <c r="N132" s="17">
        <f t="shared" si="2"/>
        <v>44766</v>
      </c>
      <c r="O132" t="str">
        <f>LEFT(Table1[[#This Row],[Department_Region]], FIND("-", Table1[[#This Row],[Department_Region]]) - 1)</f>
        <v>Finance</v>
      </c>
      <c r="P132" t="str">
        <f>RIGHT(Table1[[#This Row],[Department_Region]],LEN(Table1[[#This Row],[Department_Region]]) - FIND("-",Table1[[#This Row],[Department_Region]]))</f>
        <v>Texas</v>
      </c>
      <c r="Q1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32" s="15"/>
    </row>
    <row r="133" spans="1:18" x14ac:dyDescent="0.2">
      <c r="A133" s="1">
        <v>131</v>
      </c>
      <c r="B133" s="6" t="s">
        <v>337</v>
      </c>
      <c r="C133" t="s">
        <v>54</v>
      </c>
      <c r="D133" t="s">
        <v>26</v>
      </c>
      <c r="E133">
        <v>25</v>
      </c>
      <c r="F133" t="s">
        <v>70</v>
      </c>
      <c r="G133" t="s">
        <v>33</v>
      </c>
      <c r="H133" s="6" t="s">
        <v>338</v>
      </c>
      <c r="I133" s="11">
        <v>98489.32</v>
      </c>
      <c r="J133" t="s">
        <v>122</v>
      </c>
      <c r="K133">
        <v>-5636205014</v>
      </c>
      <c r="L133" t="s">
        <v>23</v>
      </c>
      <c r="M133" t="b">
        <v>0</v>
      </c>
      <c r="N133" s="17">
        <f t="shared" si="2"/>
        <v>45107</v>
      </c>
      <c r="O133" t="str">
        <f>LEFT(Table1[[#This Row],[Department_Region]], FIND("-", Table1[[#This Row],[Department_Region]]) - 1)</f>
        <v>Finance</v>
      </c>
      <c r="P133" t="str">
        <f>RIGHT(Table1[[#This Row],[Department_Region]],LEN(Table1[[#This Row],[Department_Region]]) - FIND("-",Table1[[#This Row],[Department_Region]]))</f>
        <v>California</v>
      </c>
      <c r="Q1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33" s="15"/>
    </row>
    <row r="134" spans="1:18" x14ac:dyDescent="0.2">
      <c r="A134" s="1">
        <v>132</v>
      </c>
      <c r="B134" s="6" t="s">
        <v>339</v>
      </c>
      <c r="C134" t="s">
        <v>37</v>
      </c>
      <c r="D134" t="s">
        <v>124</v>
      </c>
      <c r="E134">
        <v>32</v>
      </c>
      <c r="F134" t="s">
        <v>70</v>
      </c>
      <c r="G134" t="s">
        <v>28</v>
      </c>
      <c r="H134" s="6" t="s">
        <v>1721</v>
      </c>
      <c r="I134" s="11">
        <v>112120.71</v>
      </c>
      <c r="J134" t="s">
        <v>139</v>
      </c>
      <c r="K134">
        <v>-812473949</v>
      </c>
      <c r="L134" t="s">
        <v>41</v>
      </c>
      <c r="M134" t="b">
        <v>1</v>
      </c>
      <c r="N134" s="17">
        <f t="shared" si="2"/>
        <v>45302</v>
      </c>
      <c r="O134" t="str">
        <f>LEFT(Table1[[#This Row],[Department_Region]], FIND("-", Table1[[#This Row],[Department_Region]]) - 1)</f>
        <v>Finance</v>
      </c>
      <c r="P134" t="str">
        <f>RIGHT(Table1[[#This Row],[Department_Region]],LEN(Table1[[#This Row],[Department_Region]]) - FIND("-",Table1[[#This Row],[Department_Region]]))</f>
        <v>California</v>
      </c>
      <c r="Q1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34" s="15"/>
    </row>
    <row r="135" spans="1:18" x14ac:dyDescent="0.2">
      <c r="A135" s="1">
        <v>133</v>
      </c>
      <c r="B135" s="6" t="s">
        <v>340</v>
      </c>
      <c r="C135" t="s">
        <v>25</v>
      </c>
      <c r="D135" t="s">
        <v>26</v>
      </c>
      <c r="E135">
        <v>32</v>
      </c>
      <c r="F135" t="s">
        <v>60</v>
      </c>
      <c r="G135" t="s">
        <v>28</v>
      </c>
      <c r="H135" s="6" t="s">
        <v>1722</v>
      </c>
      <c r="I135" s="11">
        <v>114465.04</v>
      </c>
      <c r="J135" t="s">
        <v>29</v>
      </c>
      <c r="K135">
        <v>-334234257</v>
      </c>
      <c r="L135" t="s">
        <v>30</v>
      </c>
      <c r="M135" t="b">
        <v>0</v>
      </c>
      <c r="N135" s="17">
        <f t="shared" si="2"/>
        <v>45232</v>
      </c>
      <c r="O135" t="str">
        <f>LEFT(Table1[[#This Row],[Department_Region]], FIND("-", Table1[[#This Row],[Department_Region]]) - 1)</f>
        <v>Cloud Tech</v>
      </c>
      <c r="P135" t="str">
        <f>RIGHT(Table1[[#This Row],[Department_Region]],LEN(Table1[[#This Row],[Department_Region]]) - FIND("-",Table1[[#This Row],[Department_Region]]))</f>
        <v>New York</v>
      </c>
      <c r="Q1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35" s="15"/>
    </row>
    <row r="136" spans="1:18" x14ac:dyDescent="0.2">
      <c r="A136" s="1">
        <v>134</v>
      </c>
      <c r="B136" s="6" t="s">
        <v>341</v>
      </c>
      <c r="C136" t="s">
        <v>13</v>
      </c>
      <c r="D136" t="s">
        <v>14</v>
      </c>
      <c r="E136">
        <v>40</v>
      </c>
      <c r="F136" t="s">
        <v>86</v>
      </c>
      <c r="G136" t="s">
        <v>28</v>
      </c>
      <c r="H136" s="6" t="s">
        <v>342</v>
      </c>
      <c r="I136" s="11">
        <v>57035.51</v>
      </c>
      <c r="J136" t="s">
        <v>17</v>
      </c>
      <c r="K136">
        <v>-3230241025</v>
      </c>
      <c r="L136" t="s">
        <v>41</v>
      </c>
      <c r="M136" t="b">
        <v>1</v>
      </c>
      <c r="N136" s="17">
        <f t="shared" si="2"/>
        <v>45618</v>
      </c>
      <c r="O136" t="str">
        <f>LEFT(Table1[[#This Row],[Department_Region]], FIND("-", Table1[[#This Row],[Department_Region]]) - 1)</f>
        <v>Cloud Tech</v>
      </c>
      <c r="P136" t="str">
        <f>RIGHT(Table1[[#This Row],[Department_Region]],LEN(Table1[[#This Row],[Department_Region]]) - FIND("-",Table1[[#This Row],[Department_Region]]))</f>
        <v>Nevada</v>
      </c>
      <c r="Q1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36" s="15"/>
    </row>
    <row r="137" spans="1:18" x14ac:dyDescent="0.2">
      <c r="A137" s="1">
        <v>135</v>
      </c>
      <c r="B137" s="6" t="s">
        <v>343</v>
      </c>
      <c r="C137" t="s">
        <v>32</v>
      </c>
      <c r="D137" t="s">
        <v>26</v>
      </c>
      <c r="E137">
        <v>25</v>
      </c>
      <c r="F137" t="s">
        <v>272</v>
      </c>
      <c r="G137" t="s">
        <v>16</v>
      </c>
      <c r="H137" s="6" t="s">
        <v>344</v>
      </c>
      <c r="I137" s="11">
        <v>75092.429999999993</v>
      </c>
      <c r="J137" t="s">
        <v>281</v>
      </c>
      <c r="K137">
        <v>-1534735527</v>
      </c>
      <c r="L137" t="s">
        <v>23</v>
      </c>
      <c r="M137" t="b">
        <v>1</v>
      </c>
      <c r="N137" s="17">
        <f t="shared" si="2"/>
        <v>44431</v>
      </c>
      <c r="O137" t="str">
        <f>LEFT(Table1[[#This Row],[Department_Region]], FIND("-", Table1[[#This Row],[Department_Region]]) - 1)</f>
        <v>Cloud Tech</v>
      </c>
      <c r="P137" t="str">
        <f>RIGHT(Table1[[#This Row],[Department_Region]],LEN(Table1[[#This Row],[Department_Region]]) - FIND("-",Table1[[#This Row],[Department_Region]]))</f>
        <v>California</v>
      </c>
      <c r="Q1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37" s="15"/>
    </row>
    <row r="138" spans="1:18" x14ac:dyDescent="0.2">
      <c r="A138" s="1">
        <v>136</v>
      </c>
      <c r="B138" s="6" t="s">
        <v>345</v>
      </c>
      <c r="C138" t="s">
        <v>59</v>
      </c>
      <c r="D138" t="s">
        <v>124</v>
      </c>
      <c r="E138">
        <v>32</v>
      </c>
      <c r="F138" t="s">
        <v>269</v>
      </c>
      <c r="G138" t="s">
        <v>28</v>
      </c>
      <c r="H138" s="6" t="s">
        <v>1712</v>
      </c>
      <c r="I138" s="11">
        <v>62603.98</v>
      </c>
      <c r="J138" t="s">
        <v>346</v>
      </c>
      <c r="K138">
        <v>-9611223385</v>
      </c>
      <c r="L138" t="s">
        <v>30</v>
      </c>
      <c r="M138" t="b">
        <v>0</v>
      </c>
      <c r="N138" s="17">
        <f t="shared" si="2"/>
        <v>45454</v>
      </c>
      <c r="O138" t="str">
        <f>LEFT(Table1[[#This Row],[Department_Region]], FIND("-", Table1[[#This Row],[Department_Region]]) - 1)</f>
        <v>Finance</v>
      </c>
      <c r="P138" t="str">
        <f>RIGHT(Table1[[#This Row],[Department_Region]],LEN(Table1[[#This Row],[Department_Region]]) - FIND("-",Table1[[#This Row],[Department_Region]]))</f>
        <v>Illinois</v>
      </c>
      <c r="Q1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38" s="15"/>
    </row>
    <row r="139" spans="1:18" x14ac:dyDescent="0.2">
      <c r="A139" s="1">
        <v>137</v>
      </c>
      <c r="B139" s="6" t="s">
        <v>347</v>
      </c>
      <c r="C139" t="s">
        <v>69</v>
      </c>
      <c r="D139" t="s">
        <v>124</v>
      </c>
      <c r="E139">
        <v>32</v>
      </c>
      <c r="F139" t="s">
        <v>56</v>
      </c>
      <c r="G139" t="s">
        <v>33</v>
      </c>
      <c r="H139" s="6" t="s">
        <v>1723</v>
      </c>
      <c r="I139" s="11">
        <v>60018.239999999998</v>
      </c>
      <c r="J139" t="s">
        <v>137</v>
      </c>
      <c r="K139">
        <v>-5596309937</v>
      </c>
      <c r="L139" t="s">
        <v>23</v>
      </c>
      <c r="M139" t="b">
        <v>0</v>
      </c>
      <c r="N139" s="17">
        <f t="shared" si="2"/>
        <v>45025</v>
      </c>
      <c r="O139" t="str">
        <f>LEFT(Table1[[#This Row],[Department_Region]], FIND("-", Table1[[#This Row],[Department_Region]]) - 1)</f>
        <v>DevOps</v>
      </c>
      <c r="P139" t="str">
        <f>RIGHT(Table1[[#This Row],[Department_Region]],LEN(Table1[[#This Row],[Department_Region]]) - FIND("-",Table1[[#This Row],[Department_Region]]))</f>
        <v>New York</v>
      </c>
      <c r="Q1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39" s="15"/>
    </row>
    <row r="140" spans="1:18" x14ac:dyDescent="0.2">
      <c r="A140" s="1">
        <v>138</v>
      </c>
      <c r="B140" s="6" t="s">
        <v>348</v>
      </c>
      <c r="C140" t="s">
        <v>32</v>
      </c>
      <c r="D140" t="s">
        <v>14</v>
      </c>
      <c r="E140">
        <v>40</v>
      </c>
      <c r="F140" t="s">
        <v>151</v>
      </c>
      <c r="G140" t="s">
        <v>16</v>
      </c>
      <c r="H140" s="6" t="s">
        <v>1724</v>
      </c>
      <c r="I140" s="11">
        <v>82567.73</v>
      </c>
      <c r="J140" t="s">
        <v>35</v>
      </c>
      <c r="K140">
        <v>-4253042896</v>
      </c>
      <c r="L140" t="s">
        <v>41</v>
      </c>
      <c r="M140" t="b">
        <v>1</v>
      </c>
      <c r="N140" s="17">
        <f t="shared" si="2"/>
        <v>45478</v>
      </c>
      <c r="O140" t="str">
        <f>LEFT(Table1[[#This Row],[Department_Region]], FIND("-", Table1[[#This Row],[Department_Region]]) - 1)</f>
        <v>HR</v>
      </c>
      <c r="P140" t="str">
        <f>RIGHT(Table1[[#This Row],[Department_Region]],LEN(Table1[[#This Row],[Department_Region]]) - FIND("-",Table1[[#This Row],[Department_Region]]))</f>
        <v>Nevada</v>
      </c>
      <c r="Q1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40" s="15"/>
    </row>
    <row r="141" spans="1:18" x14ac:dyDescent="0.2">
      <c r="A141" s="1">
        <v>139</v>
      </c>
      <c r="B141" s="6" t="s">
        <v>349</v>
      </c>
      <c r="C141" t="s">
        <v>54</v>
      </c>
      <c r="D141" t="s">
        <v>124</v>
      </c>
      <c r="E141">
        <v>25</v>
      </c>
      <c r="F141" t="s">
        <v>70</v>
      </c>
      <c r="G141" t="s">
        <v>28</v>
      </c>
      <c r="H141" s="6" t="s">
        <v>1725</v>
      </c>
      <c r="I141" s="11">
        <v>94725.71</v>
      </c>
      <c r="J141" t="s">
        <v>197</v>
      </c>
      <c r="K141">
        <v>-3179128684</v>
      </c>
      <c r="L141" t="s">
        <v>41</v>
      </c>
      <c r="M141" t="b">
        <v>0</v>
      </c>
      <c r="N141" s="17">
        <f t="shared" si="2"/>
        <v>44443</v>
      </c>
      <c r="O141" t="str">
        <f>LEFT(Table1[[#This Row],[Department_Region]], FIND("-", Table1[[#This Row],[Department_Region]]) - 1)</f>
        <v>Finance</v>
      </c>
      <c r="P141" t="str">
        <f>RIGHT(Table1[[#This Row],[Department_Region]],LEN(Table1[[#This Row],[Department_Region]]) - FIND("-",Table1[[#This Row],[Department_Region]]))</f>
        <v>California</v>
      </c>
      <c r="Q1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41" s="15"/>
    </row>
    <row r="142" spans="1:18" x14ac:dyDescent="0.2">
      <c r="A142" s="1">
        <v>140</v>
      </c>
      <c r="B142" s="6" t="s">
        <v>350</v>
      </c>
      <c r="C142" t="s">
        <v>32</v>
      </c>
      <c r="D142" t="s">
        <v>43</v>
      </c>
      <c r="E142">
        <v>40</v>
      </c>
      <c r="F142" t="s">
        <v>66</v>
      </c>
      <c r="G142" t="s">
        <v>33</v>
      </c>
      <c r="H142" s="6" t="s">
        <v>225</v>
      </c>
      <c r="I142" s="11">
        <v>83824.56</v>
      </c>
      <c r="J142" t="s">
        <v>301</v>
      </c>
      <c r="K142">
        <v>-7872558776</v>
      </c>
      <c r="L142" t="s">
        <v>41</v>
      </c>
      <c r="M142" t="b">
        <v>0</v>
      </c>
      <c r="N142" s="17">
        <f t="shared" si="2"/>
        <v>45578</v>
      </c>
      <c r="O142" t="str">
        <f>LEFT(Table1[[#This Row],[Department_Region]], FIND("-", Table1[[#This Row],[Department_Region]]) - 1)</f>
        <v>HR</v>
      </c>
      <c r="P142" t="str">
        <f>RIGHT(Table1[[#This Row],[Department_Region]],LEN(Table1[[#This Row],[Department_Region]]) - FIND("-",Table1[[#This Row],[Department_Region]]))</f>
        <v>New York</v>
      </c>
      <c r="Q1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42" s="15"/>
    </row>
    <row r="143" spans="1:18" x14ac:dyDescent="0.2">
      <c r="A143" s="1">
        <v>141</v>
      </c>
      <c r="B143" s="6" t="s">
        <v>351</v>
      </c>
      <c r="C143" t="s">
        <v>37</v>
      </c>
      <c r="D143" t="s">
        <v>124</v>
      </c>
      <c r="E143">
        <v>32</v>
      </c>
      <c r="F143" t="s">
        <v>151</v>
      </c>
      <c r="G143" t="s">
        <v>33</v>
      </c>
      <c r="H143" s="6" t="s">
        <v>352</v>
      </c>
      <c r="I143" s="11">
        <v>118456.11</v>
      </c>
      <c r="J143" t="s">
        <v>139</v>
      </c>
      <c r="K143">
        <v>-4969033372</v>
      </c>
      <c r="L143" t="s">
        <v>23</v>
      </c>
      <c r="M143" t="b">
        <v>1</v>
      </c>
      <c r="N143" s="17">
        <f t="shared" si="2"/>
        <v>43875</v>
      </c>
      <c r="O143" t="str">
        <f>LEFT(Table1[[#This Row],[Department_Region]], FIND("-", Table1[[#This Row],[Department_Region]]) - 1)</f>
        <v>HR</v>
      </c>
      <c r="P143" t="str">
        <f>RIGHT(Table1[[#This Row],[Department_Region]],LEN(Table1[[#This Row],[Department_Region]]) - FIND("-",Table1[[#This Row],[Department_Region]]))</f>
        <v>Nevada</v>
      </c>
      <c r="Q1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43" s="15"/>
    </row>
    <row r="144" spans="1:18" x14ac:dyDescent="0.2">
      <c r="A144" s="1">
        <v>142</v>
      </c>
      <c r="B144" s="6" t="s">
        <v>353</v>
      </c>
      <c r="C144" t="s">
        <v>32</v>
      </c>
      <c r="D144" t="s">
        <v>20</v>
      </c>
      <c r="E144">
        <v>25</v>
      </c>
      <c r="F144" t="s">
        <v>222</v>
      </c>
      <c r="G144" t="s">
        <v>28</v>
      </c>
      <c r="H144" s="6" t="s">
        <v>1726</v>
      </c>
      <c r="I144" s="11">
        <v>113743.19</v>
      </c>
      <c r="J144" t="s">
        <v>157</v>
      </c>
      <c r="K144">
        <v>-6346692547</v>
      </c>
      <c r="L144" t="s">
        <v>30</v>
      </c>
      <c r="M144" t="b">
        <v>1</v>
      </c>
      <c r="N144" s="17">
        <f t="shared" si="2"/>
        <v>43931</v>
      </c>
      <c r="O144" t="str">
        <f>LEFT(Table1[[#This Row],[Department_Region]], FIND("-", Table1[[#This Row],[Department_Region]]) - 1)</f>
        <v>Sales</v>
      </c>
      <c r="P144" t="str">
        <f>RIGHT(Table1[[#This Row],[Department_Region]],LEN(Table1[[#This Row],[Department_Region]]) - FIND("-",Table1[[#This Row],[Department_Region]]))</f>
        <v>Nevada</v>
      </c>
      <c r="Q1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44" s="15"/>
    </row>
    <row r="145" spans="1:18" x14ac:dyDescent="0.2">
      <c r="A145" s="1">
        <v>143</v>
      </c>
      <c r="B145" s="6" t="s">
        <v>354</v>
      </c>
      <c r="C145" t="s">
        <v>32</v>
      </c>
      <c r="D145" t="s">
        <v>43</v>
      </c>
      <c r="E145">
        <v>30</v>
      </c>
      <c r="F145" t="s">
        <v>180</v>
      </c>
      <c r="G145" t="s">
        <v>16</v>
      </c>
      <c r="H145" s="6" t="s">
        <v>355</v>
      </c>
      <c r="I145" s="11">
        <v>63309.24</v>
      </c>
      <c r="J145" t="s">
        <v>301</v>
      </c>
      <c r="K145">
        <v>-1214785389</v>
      </c>
      <c r="L145" t="s">
        <v>30</v>
      </c>
      <c r="M145" t="b">
        <v>0</v>
      </c>
      <c r="N145" s="17">
        <f t="shared" si="2"/>
        <v>45134</v>
      </c>
      <c r="O145" t="str">
        <f>LEFT(Table1[[#This Row],[Department_Region]], FIND("-", Table1[[#This Row],[Department_Region]]) - 1)</f>
        <v>Sales</v>
      </c>
      <c r="P145" t="str">
        <f>RIGHT(Table1[[#This Row],[Department_Region]],LEN(Table1[[#This Row],[Department_Region]]) - FIND("-",Table1[[#This Row],[Department_Region]]))</f>
        <v>California</v>
      </c>
      <c r="Q1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45" s="15"/>
    </row>
    <row r="146" spans="1:18" x14ac:dyDescent="0.2">
      <c r="A146" s="1">
        <v>144</v>
      </c>
      <c r="B146" s="6" t="s">
        <v>356</v>
      </c>
      <c r="C146" t="s">
        <v>54</v>
      </c>
      <c r="D146" t="s">
        <v>43</v>
      </c>
      <c r="E146">
        <v>25</v>
      </c>
      <c r="F146" t="s">
        <v>333</v>
      </c>
      <c r="G146" t="s">
        <v>16</v>
      </c>
      <c r="H146" s="6" t="s">
        <v>357</v>
      </c>
      <c r="I146" s="11">
        <v>105202.73</v>
      </c>
      <c r="J146" t="s">
        <v>88</v>
      </c>
      <c r="K146">
        <v>-7895677664</v>
      </c>
      <c r="L146" t="s">
        <v>23</v>
      </c>
      <c r="M146" t="b">
        <v>1</v>
      </c>
      <c r="N146" s="17">
        <f t="shared" si="2"/>
        <v>44463</v>
      </c>
      <c r="O146" t="str">
        <f>LEFT(Table1[[#This Row],[Department_Region]], FIND("-", Table1[[#This Row],[Department_Region]]) - 1)</f>
        <v>DevOps</v>
      </c>
      <c r="P146" t="str">
        <f>RIGHT(Table1[[#This Row],[Department_Region]],LEN(Table1[[#This Row],[Department_Region]]) - FIND("-",Table1[[#This Row],[Department_Region]]))</f>
        <v>Nevada</v>
      </c>
      <c r="Q1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46" s="15"/>
    </row>
    <row r="147" spans="1:18" x14ac:dyDescent="0.2">
      <c r="A147" s="1">
        <v>145</v>
      </c>
      <c r="B147" s="6" t="s">
        <v>358</v>
      </c>
      <c r="C147" t="s">
        <v>37</v>
      </c>
      <c r="D147" t="s">
        <v>14</v>
      </c>
      <c r="E147">
        <v>30</v>
      </c>
      <c r="F147" t="s">
        <v>272</v>
      </c>
      <c r="G147" t="s">
        <v>33</v>
      </c>
      <c r="H147" s="6" t="s">
        <v>1727</v>
      </c>
      <c r="I147" s="11">
        <v>79085.22</v>
      </c>
      <c r="J147" t="s">
        <v>52</v>
      </c>
      <c r="K147">
        <v>-7546027340</v>
      </c>
      <c r="L147" t="s">
        <v>30</v>
      </c>
      <c r="M147" t="b">
        <v>1</v>
      </c>
      <c r="N147" s="17">
        <f t="shared" si="2"/>
        <v>45361</v>
      </c>
      <c r="O147" t="str">
        <f>LEFT(Table1[[#This Row],[Department_Region]], FIND("-", Table1[[#This Row],[Department_Region]]) - 1)</f>
        <v>Cloud Tech</v>
      </c>
      <c r="P147" t="str">
        <f>RIGHT(Table1[[#This Row],[Department_Region]],LEN(Table1[[#This Row],[Department_Region]]) - FIND("-",Table1[[#This Row],[Department_Region]]))</f>
        <v>California</v>
      </c>
      <c r="Q1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47" s="15"/>
    </row>
    <row r="148" spans="1:18" x14ac:dyDescent="0.2">
      <c r="A148" s="1">
        <v>146</v>
      </c>
      <c r="B148" s="6" t="s">
        <v>359</v>
      </c>
      <c r="C148" t="s">
        <v>37</v>
      </c>
      <c r="D148" t="s">
        <v>38</v>
      </c>
      <c r="E148">
        <v>32</v>
      </c>
      <c r="F148" t="s">
        <v>180</v>
      </c>
      <c r="G148" t="s">
        <v>16</v>
      </c>
      <c r="H148" s="6" t="s">
        <v>1728</v>
      </c>
      <c r="I148" s="11">
        <v>113983.43</v>
      </c>
      <c r="J148" t="s">
        <v>40</v>
      </c>
      <c r="K148">
        <v>-5148881430</v>
      </c>
      <c r="L148" t="s">
        <v>23</v>
      </c>
      <c r="M148" t="b">
        <v>1</v>
      </c>
      <c r="N148" s="17">
        <f t="shared" si="2"/>
        <v>44357</v>
      </c>
      <c r="O148" t="str">
        <f>LEFT(Table1[[#This Row],[Department_Region]], FIND("-", Table1[[#This Row],[Department_Region]]) - 1)</f>
        <v>Sales</v>
      </c>
      <c r="P148" t="str">
        <f>RIGHT(Table1[[#This Row],[Department_Region]],LEN(Table1[[#This Row],[Department_Region]]) - FIND("-",Table1[[#This Row],[Department_Region]]))</f>
        <v>California</v>
      </c>
      <c r="Q1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48" s="15"/>
    </row>
    <row r="149" spans="1:18" x14ac:dyDescent="0.2">
      <c r="A149" s="1">
        <v>147</v>
      </c>
      <c r="B149" s="6" t="s">
        <v>360</v>
      </c>
      <c r="C149" t="s">
        <v>32</v>
      </c>
      <c r="D149" t="s">
        <v>38</v>
      </c>
      <c r="E149">
        <v>35</v>
      </c>
      <c r="F149" t="s">
        <v>39</v>
      </c>
      <c r="G149" t="s">
        <v>16</v>
      </c>
      <c r="H149" s="6" t="s">
        <v>361</v>
      </c>
      <c r="I149" s="11">
        <v>102790.6</v>
      </c>
      <c r="J149" t="s">
        <v>143</v>
      </c>
      <c r="K149">
        <v>-1150835353</v>
      </c>
      <c r="L149" t="s">
        <v>30</v>
      </c>
      <c r="M149" t="b">
        <v>0</v>
      </c>
      <c r="N149" s="17">
        <f t="shared" si="2"/>
        <v>44119</v>
      </c>
      <c r="O149" t="str">
        <f>LEFT(Table1[[#This Row],[Department_Region]], FIND("-", Table1[[#This Row],[Department_Region]]) - 1)</f>
        <v>Cloud Tech</v>
      </c>
      <c r="P149" t="str">
        <f>RIGHT(Table1[[#This Row],[Department_Region]],LEN(Table1[[#This Row],[Department_Region]]) - FIND("-",Table1[[#This Row],[Department_Region]]))</f>
        <v>Florida</v>
      </c>
      <c r="Q1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49" s="15"/>
    </row>
    <row r="150" spans="1:18" x14ac:dyDescent="0.2">
      <c r="A150" s="1">
        <v>148</v>
      </c>
      <c r="B150" s="6" t="s">
        <v>362</v>
      </c>
      <c r="C150" t="s">
        <v>69</v>
      </c>
      <c r="D150" t="s">
        <v>124</v>
      </c>
      <c r="E150">
        <v>32</v>
      </c>
      <c r="F150" t="s">
        <v>141</v>
      </c>
      <c r="G150" t="s">
        <v>33</v>
      </c>
      <c r="H150" s="6" t="s">
        <v>363</v>
      </c>
      <c r="I150" s="11">
        <v>68512.100000000006</v>
      </c>
      <c r="J150" t="s">
        <v>137</v>
      </c>
      <c r="K150">
        <v>-4439284043</v>
      </c>
      <c r="L150" t="s">
        <v>18</v>
      </c>
      <c r="M150" t="b">
        <v>0</v>
      </c>
      <c r="N150" s="17">
        <f t="shared" si="2"/>
        <v>43859</v>
      </c>
      <c r="O150" t="str">
        <f>LEFT(Table1[[#This Row],[Department_Region]], FIND("-", Table1[[#This Row],[Department_Region]]) - 1)</f>
        <v>HR</v>
      </c>
      <c r="P150" t="str">
        <f>RIGHT(Table1[[#This Row],[Department_Region]],LEN(Table1[[#This Row],[Department_Region]]) - FIND("-",Table1[[#This Row],[Department_Region]]))</f>
        <v>Texas</v>
      </c>
      <c r="Q1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50" s="15"/>
    </row>
    <row r="151" spans="1:18" x14ac:dyDescent="0.2">
      <c r="A151" s="1">
        <v>149</v>
      </c>
      <c r="B151" s="6" t="s">
        <v>364</v>
      </c>
      <c r="C151" t="s">
        <v>37</v>
      </c>
      <c r="D151" t="s">
        <v>43</v>
      </c>
      <c r="E151">
        <v>35</v>
      </c>
      <c r="F151" t="s">
        <v>75</v>
      </c>
      <c r="G151" t="s">
        <v>28</v>
      </c>
      <c r="H151" s="6" t="s">
        <v>365</v>
      </c>
      <c r="I151" s="11">
        <v>57584.23</v>
      </c>
      <c r="J151" t="s">
        <v>183</v>
      </c>
      <c r="K151">
        <v>-5669078262</v>
      </c>
      <c r="L151" t="s">
        <v>18</v>
      </c>
      <c r="M151" t="b">
        <v>1</v>
      </c>
      <c r="N151" s="17">
        <f t="shared" si="2"/>
        <v>44591</v>
      </c>
      <c r="O151" t="str">
        <f>LEFT(Table1[[#This Row],[Department_Region]], FIND("-", Table1[[#This Row],[Department_Region]]) - 1)</f>
        <v>Sales</v>
      </c>
      <c r="P151" t="str">
        <f>RIGHT(Table1[[#This Row],[Department_Region]],LEN(Table1[[#This Row],[Department_Region]]) - FIND("-",Table1[[#This Row],[Department_Region]]))</f>
        <v>Florida</v>
      </c>
      <c r="Q1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51" s="15"/>
    </row>
    <row r="152" spans="1:18" x14ac:dyDescent="0.2">
      <c r="A152" s="1">
        <v>150</v>
      </c>
      <c r="B152" s="6" t="s">
        <v>366</v>
      </c>
      <c r="C152" t="s">
        <v>25</v>
      </c>
      <c r="D152" t="s">
        <v>38</v>
      </c>
      <c r="E152">
        <v>32</v>
      </c>
      <c r="F152" t="s">
        <v>180</v>
      </c>
      <c r="G152" t="s">
        <v>28</v>
      </c>
      <c r="H152" s="6" t="s">
        <v>367</v>
      </c>
      <c r="I152" s="11">
        <v>95335.67</v>
      </c>
      <c r="J152" t="s">
        <v>368</v>
      </c>
      <c r="K152">
        <v>-3373898774</v>
      </c>
      <c r="L152" t="s">
        <v>41</v>
      </c>
      <c r="M152" t="b">
        <v>0</v>
      </c>
      <c r="N152" s="17">
        <f t="shared" si="2"/>
        <v>44284</v>
      </c>
      <c r="O152" t="str">
        <f>LEFT(Table1[[#This Row],[Department_Region]], FIND("-", Table1[[#This Row],[Department_Region]]) - 1)</f>
        <v>Sales</v>
      </c>
      <c r="P152" t="str">
        <f>RIGHT(Table1[[#This Row],[Department_Region]],LEN(Table1[[#This Row],[Department_Region]]) - FIND("-",Table1[[#This Row],[Department_Region]]))</f>
        <v>California</v>
      </c>
      <c r="Q1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52" s="15"/>
    </row>
    <row r="153" spans="1:18" x14ac:dyDescent="0.2">
      <c r="A153" s="1">
        <v>151</v>
      </c>
      <c r="B153" s="6" t="s">
        <v>369</v>
      </c>
      <c r="C153" t="s">
        <v>65</v>
      </c>
      <c r="D153" t="s">
        <v>38</v>
      </c>
      <c r="E153">
        <v>35</v>
      </c>
      <c r="F153" t="s">
        <v>233</v>
      </c>
      <c r="G153" t="s">
        <v>16</v>
      </c>
      <c r="H153" s="6" t="s">
        <v>370</v>
      </c>
      <c r="I153" s="11">
        <v>53174.28</v>
      </c>
      <c r="J153" t="s">
        <v>67</v>
      </c>
      <c r="K153">
        <v>-1536637779</v>
      </c>
      <c r="L153" t="s">
        <v>18</v>
      </c>
      <c r="M153" t="b">
        <v>1</v>
      </c>
      <c r="N153" s="17">
        <f t="shared" si="2"/>
        <v>44117</v>
      </c>
      <c r="O153" t="str">
        <f>LEFT(Table1[[#This Row],[Department_Region]], FIND("-", Table1[[#This Row],[Department_Region]]) - 1)</f>
        <v>DevOps</v>
      </c>
      <c r="P153" t="str">
        <f>RIGHT(Table1[[#This Row],[Department_Region]],LEN(Table1[[#This Row],[Department_Region]]) - FIND("-",Table1[[#This Row],[Department_Region]]))</f>
        <v>Florida</v>
      </c>
      <c r="Q1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53" s="15"/>
    </row>
    <row r="154" spans="1:18" x14ac:dyDescent="0.2">
      <c r="A154" s="1">
        <v>152</v>
      </c>
      <c r="B154" s="6" t="s">
        <v>371</v>
      </c>
      <c r="C154" t="s">
        <v>65</v>
      </c>
      <c r="D154" t="s">
        <v>124</v>
      </c>
      <c r="E154">
        <v>25</v>
      </c>
      <c r="F154" t="s">
        <v>60</v>
      </c>
      <c r="G154" t="s">
        <v>28</v>
      </c>
      <c r="H154" s="6" t="s">
        <v>1729</v>
      </c>
      <c r="I154" s="11">
        <v>77205.210000000006</v>
      </c>
      <c r="J154" t="s">
        <v>372</v>
      </c>
      <c r="K154">
        <v>-5292407552</v>
      </c>
      <c r="L154" t="s">
        <v>18</v>
      </c>
      <c r="M154" t="b">
        <v>0</v>
      </c>
      <c r="N154" s="17">
        <f t="shared" si="2"/>
        <v>44108</v>
      </c>
      <c r="O154" t="str">
        <f>LEFT(Table1[[#This Row],[Department_Region]], FIND("-", Table1[[#This Row],[Department_Region]]) - 1)</f>
        <v>Cloud Tech</v>
      </c>
      <c r="P154" t="str">
        <f>RIGHT(Table1[[#This Row],[Department_Region]],LEN(Table1[[#This Row],[Department_Region]]) - FIND("-",Table1[[#This Row],[Department_Region]]))</f>
        <v>New York</v>
      </c>
      <c r="Q1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54" s="15"/>
    </row>
    <row r="155" spans="1:18" x14ac:dyDescent="0.2">
      <c r="A155" s="1">
        <v>153</v>
      </c>
      <c r="B155" s="6" t="s">
        <v>373</v>
      </c>
      <c r="C155" t="s">
        <v>69</v>
      </c>
      <c r="D155" t="s">
        <v>38</v>
      </c>
      <c r="E155">
        <v>32</v>
      </c>
      <c r="F155" t="s">
        <v>333</v>
      </c>
      <c r="G155" t="s">
        <v>16</v>
      </c>
      <c r="H155" s="6" t="s">
        <v>374</v>
      </c>
      <c r="I155" s="11">
        <v>79041.919999999998</v>
      </c>
      <c r="J155" t="s">
        <v>72</v>
      </c>
      <c r="K155">
        <v>-6668459089</v>
      </c>
      <c r="L155" t="s">
        <v>18</v>
      </c>
      <c r="M155" t="b">
        <v>1</v>
      </c>
      <c r="N155" s="17">
        <f t="shared" si="2"/>
        <v>45644</v>
      </c>
      <c r="O155" t="str">
        <f>LEFT(Table1[[#This Row],[Department_Region]], FIND("-", Table1[[#This Row],[Department_Region]]) - 1)</f>
        <v>DevOps</v>
      </c>
      <c r="P155" t="str">
        <f>RIGHT(Table1[[#This Row],[Department_Region]],LEN(Table1[[#This Row],[Department_Region]]) - FIND("-",Table1[[#This Row],[Department_Region]]))</f>
        <v>Nevada</v>
      </c>
      <c r="Q1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55" s="15"/>
    </row>
    <row r="156" spans="1:18" x14ac:dyDescent="0.2">
      <c r="A156" s="1">
        <v>154</v>
      </c>
      <c r="B156" s="6" t="s">
        <v>375</v>
      </c>
      <c r="C156" t="s">
        <v>65</v>
      </c>
      <c r="D156" t="s">
        <v>26</v>
      </c>
      <c r="E156">
        <v>32</v>
      </c>
      <c r="F156" t="s">
        <v>70</v>
      </c>
      <c r="G156" t="s">
        <v>16</v>
      </c>
      <c r="H156" s="6" t="s">
        <v>376</v>
      </c>
      <c r="I156" s="11">
        <v>75937.100000000006</v>
      </c>
      <c r="J156" t="s">
        <v>324</v>
      </c>
      <c r="K156">
        <v>-2259999662</v>
      </c>
      <c r="L156" t="s">
        <v>23</v>
      </c>
      <c r="M156" t="b">
        <v>1</v>
      </c>
      <c r="N156" s="17">
        <f t="shared" si="2"/>
        <v>45244</v>
      </c>
      <c r="O156" t="str">
        <f>LEFT(Table1[[#This Row],[Department_Region]], FIND("-", Table1[[#This Row],[Department_Region]]) - 1)</f>
        <v>Finance</v>
      </c>
      <c r="P156" t="str">
        <f>RIGHT(Table1[[#This Row],[Department_Region]],LEN(Table1[[#This Row],[Department_Region]]) - FIND("-",Table1[[#This Row],[Department_Region]]))</f>
        <v>California</v>
      </c>
      <c r="Q1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56" s="15"/>
    </row>
    <row r="157" spans="1:18" x14ac:dyDescent="0.2">
      <c r="A157" s="1">
        <v>155</v>
      </c>
      <c r="B157" s="6" t="s">
        <v>377</v>
      </c>
      <c r="C157" t="s">
        <v>59</v>
      </c>
      <c r="D157" t="s">
        <v>55</v>
      </c>
      <c r="E157">
        <v>35</v>
      </c>
      <c r="F157" t="s">
        <v>86</v>
      </c>
      <c r="G157" t="s">
        <v>33</v>
      </c>
      <c r="H157" s="6" t="s">
        <v>378</v>
      </c>
      <c r="I157" s="11">
        <v>113118.73</v>
      </c>
      <c r="J157" t="s">
        <v>220</v>
      </c>
      <c r="K157">
        <v>-6186371596</v>
      </c>
      <c r="L157" t="s">
        <v>18</v>
      </c>
      <c r="M157" t="b">
        <v>0</v>
      </c>
      <c r="N157" s="17">
        <f t="shared" si="2"/>
        <v>44946</v>
      </c>
      <c r="O157" t="str">
        <f>LEFT(Table1[[#This Row],[Department_Region]], FIND("-", Table1[[#This Row],[Department_Region]]) - 1)</f>
        <v>Cloud Tech</v>
      </c>
      <c r="P157" t="str">
        <f>RIGHT(Table1[[#This Row],[Department_Region]],LEN(Table1[[#This Row],[Department_Region]]) - FIND("-",Table1[[#This Row],[Department_Region]]))</f>
        <v>Nevada</v>
      </c>
      <c r="Q1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57" s="15"/>
    </row>
    <row r="158" spans="1:18" x14ac:dyDescent="0.2">
      <c r="A158" s="1">
        <v>156</v>
      </c>
      <c r="B158" s="6" t="s">
        <v>379</v>
      </c>
      <c r="C158" t="s">
        <v>25</v>
      </c>
      <c r="D158" t="s">
        <v>14</v>
      </c>
      <c r="E158">
        <v>40</v>
      </c>
      <c r="F158" t="s">
        <v>66</v>
      </c>
      <c r="G158" t="s">
        <v>16</v>
      </c>
      <c r="H158" s="6" t="s">
        <v>1730</v>
      </c>
      <c r="I158" s="11">
        <v>107693.38</v>
      </c>
      <c r="J158" t="s">
        <v>165</v>
      </c>
      <c r="K158">
        <v>-4121820969</v>
      </c>
      <c r="L158" t="s">
        <v>18</v>
      </c>
      <c r="M158" t="b">
        <v>1</v>
      </c>
      <c r="N158" s="17">
        <f t="shared" si="2"/>
        <v>45567</v>
      </c>
      <c r="O158" t="str">
        <f>LEFT(Table1[[#This Row],[Department_Region]], FIND("-", Table1[[#This Row],[Department_Region]]) - 1)</f>
        <v>HR</v>
      </c>
      <c r="P158" t="str">
        <f>RIGHT(Table1[[#This Row],[Department_Region]],LEN(Table1[[#This Row],[Department_Region]]) - FIND("-",Table1[[#This Row],[Department_Region]]))</f>
        <v>New York</v>
      </c>
      <c r="Q1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58" s="15"/>
    </row>
    <row r="159" spans="1:18" x14ac:dyDescent="0.2">
      <c r="A159" s="1">
        <v>157</v>
      </c>
      <c r="B159" s="6" t="s">
        <v>380</v>
      </c>
      <c r="C159" t="s">
        <v>59</v>
      </c>
      <c r="D159" t="s">
        <v>55</v>
      </c>
      <c r="E159">
        <v>32</v>
      </c>
      <c r="F159" t="s">
        <v>161</v>
      </c>
      <c r="G159" t="s">
        <v>33</v>
      </c>
      <c r="H159" s="6" t="s">
        <v>381</v>
      </c>
      <c r="I159" s="11">
        <v>119217.46</v>
      </c>
      <c r="J159" t="s">
        <v>220</v>
      </c>
      <c r="K159">
        <v>-2316433480</v>
      </c>
      <c r="L159" t="s">
        <v>41</v>
      </c>
      <c r="M159" t="b">
        <v>0</v>
      </c>
      <c r="N159" s="17">
        <f t="shared" si="2"/>
        <v>44329</v>
      </c>
      <c r="O159" t="str">
        <f>LEFT(Table1[[#This Row],[Department_Region]], FIND("-", Table1[[#This Row],[Department_Region]]) - 1)</f>
        <v>Cloud Tech</v>
      </c>
      <c r="P159" t="str">
        <f>RIGHT(Table1[[#This Row],[Department_Region]],LEN(Table1[[#This Row],[Department_Region]]) - FIND("-",Table1[[#This Row],[Department_Region]]))</f>
        <v>Texas</v>
      </c>
      <c r="Q1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59" s="15"/>
    </row>
    <row r="160" spans="1:18" x14ac:dyDescent="0.2">
      <c r="A160" s="1">
        <v>158</v>
      </c>
      <c r="B160" s="6" t="s">
        <v>382</v>
      </c>
      <c r="C160" t="s">
        <v>59</v>
      </c>
      <c r="D160" t="s">
        <v>124</v>
      </c>
      <c r="E160">
        <v>25</v>
      </c>
      <c r="F160" t="s">
        <v>110</v>
      </c>
      <c r="G160" t="s">
        <v>28</v>
      </c>
      <c r="H160" s="6" t="s">
        <v>383</v>
      </c>
      <c r="I160" s="11">
        <v>106913.71</v>
      </c>
      <c r="J160" t="s">
        <v>346</v>
      </c>
      <c r="K160">
        <v>-7058025661</v>
      </c>
      <c r="L160" t="s">
        <v>18</v>
      </c>
      <c r="M160" t="b">
        <v>0</v>
      </c>
      <c r="N160" s="17">
        <f t="shared" si="2"/>
        <v>44273</v>
      </c>
      <c r="O160" t="str">
        <f>LEFT(Table1[[#This Row],[Department_Region]], FIND("-", Table1[[#This Row],[Department_Region]]) - 1)</f>
        <v>Sales</v>
      </c>
      <c r="P160" t="str">
        <f>RIGHT(Table1[[#This Row],[Department_Region]],LEN(Table1[[#This Row],[Department_Region]]) - FIND("-",Table1[[#This Row],[Department_Region]]))</f>
        <v>New York</v>
      </c>
      <c r="Q1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60" s="15"/>
    </row>
    <row r="161" spans="1:18" x14ac:dyDescent="0.2">
      <c r="A161" s="1">
        <v>159</v>
      </c>
      <c r="B161" s="6" t="s">
        <v>384</v>
      </c>
      <c r="C161" t="s">
        <v>54</v>
      </c>
      <c r="D161" t="s">
        <v>20</v>
      </c>
      <c r="E161">
        <v>32</v>
      </c>
      <c r="F161" t="s">
        <v>272</v>
      </c>
      <c r="G161" t="s">
        <v>16</v>
      </c>
      <c r="H161" s="6" t="s">
        <v>385</v>
      </c>
      <c r="I161" s="11">
        <v>87815.08</v>
      </c>
      <c r="J161" t="s">
        <v>127</v>
      </c>
      <c r="K161">
        <v>-1286716322</v>
      </c>
      <c r="L161" t="s">
        <v>18</v>
      </c>
      <c r="M161" t="b">
        <v>1</v>
      </c>
      <c r="N161" s="17">
        <f t="shared" si="2"/>
        <v>44097</v>
      </c>
      <c r="O161" t="str">
        <f>LEFT(Table1[[#This Row],[Department_Region]], FIND("-", Table1[[#This Row],[Department_Region]]) - 1)</f>
        <v>Cloud Tech</v>
      </c>
      <c r="P161" t="str">
        <f>RIGHT(Table1[[#This Row],[Department_Region]],LEN(Table1[[#This Row],[Department_Region]]) - FIND("-",Table1[[#This Row],[Department_Region]]))</f>
        <v>California</v>
      </c>
      <c r="Q1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1" s="15"/>
    </row>
    <row r="162" spans="1:18" x14ac:dyDescent="0.2">
      <c r="A162" s="1">
        <v>160</v>
      </c>
      <c r="B162" s="6" t="s">
        <v>386</v>
      </c>
      <c r="C162" t="s">
        <v>13</v>
      </c>
      <c r="D162" t="s">
        <v>14</v>
      </c>
      <c r="E162">
        <v>25</v>
      </c>
      <c r="F162" t="s">
        <v>104</v>
      </c>
      <c r="G162" t="s">
        <v>33</v>
      </c>
      <c r="H162" s="6" t="s">
        <v>1731</v>
      </c>
      <c r="I162" s="11">
        <v>105190.21</v>
      </c>
      <c r="J162" t="s">
        <v>17</v>
      </c>
      <c r="K162">
        <v>-4672994937</v>
      </c>
      <c r="L162" t="s">
        <v>30</v>
      </c>
      <c r="M162" t="b">
        <v>1</v>
      </c>
      <c r="N162" s="17">
        <f t="shared" si="2"/>
        <v>45448</v>
      </c>
      <c r="O162" t="str">
        <f>LEFT(Table1[[#This Row],[Department_Region]], FIND("-", Table1[[#This Row],[Department_Region]]) - 1)</f>
        <v>Admin</v>
      </c>
      <c r="P162" t="str">
        <f>RIGHT(Table1[[#This Row],[Department_Region]],LEN(Table1[[#This Row],[Department_Region]]) - FIND("-",Table1[[#This Row],[Department_Region]]))</f>
        <v>Texas</v>
      </c>
      <c r="Q1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62" s="15"/>
    </row>
    <row r="163" spans="1:18" x14ac:dyDescent="0.2">
      <c r="A163" s="1">
        <v>161</v>
      </c>
      <c r="B163" s="6" t="s">
        <v>387</v>
      </c>
      <c r="C163" t="s">
        <v>25</v>
      </c>
      <c r="D163" t="s">
        <v>124</v>
      </c>
      <c r="E163">
        <v>30</v>
      </c>
      <c r="F163" t="s">
        <v>141</v>
      </c>
      <c r="G163" t="s">
        <v>16</v>
      </c>
      <c r="H163" s="6" t="s">
        <v>388</v>
      </c>
      <c r="I163" s="11">
        <v>79467.240000000005</v>
      </c>
      <c r="J163" t="s">
        <v>185</v>
      </c>
      <c r="K163">
        <v>-7430271692</v>
      </c>
      <c r="L163" t="s">
        <v>41</v>
      </c>
      <c r="M163" t="b">
        <v>0</v>
      </c>
      <c r="N163" s="17">
        <f t="shared" si="2"/>
        <v>45350</v>
      </c>
      <c r="O163" t="str">
        <f>LEFT(Table1[[#This Row],[Department_Region]], FIND("-", Table1[[#This Row],[Department_Region]]) - 1)</f>
        <v>HR</v>
      </c>
      <c r="P163" t="str">
        <f>RIGHT(Table1[[#This Row],[Department_Region]],LEN(Table1[[#This Row],[Department_Region]]) - FIND("-",Table1[[#This Row],[Department_Region]]))</f>
        <v>Texas</v>
      </c>
      <c r="Q1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3" s="15"/>
    </row>
    <row r="164" spans="1:18" x14ac:dyDescent="0.2">
      <c r="A164" s="1">
        <v>162</v>
      </c>
      <c r="B164" s="6" t="s">
        <v>389</v>
      </c>
      <c r="C164" t="s">
        <v>13</v>
      </c>
      <c r="D164" t="s">
        <v>43</v>
      </c>
      <c r="E164">
        <v>40</v>
      </c>
      <c r="F164" t="s">
        <v>70</v>
      </c>
      <c r="G164" t="s">
        <v>28</v>
      </c>
      <c r="H164" s="6" t="s">
        <v>390</v>
      </c>
      <c r="I164" s="11">
        <v>57633.78</v>
      </c>
      <c r="J164" t="s">
        <v>155</v>
      </c>
      <c r="K164">
        <v>-8597779013</v>
      </c>
      <c r="L164" t="s">
        <v>41</v>
      </c>
      <c r="M164" t="b">
        <v>1</v>
      </c>
      <c r="N164" s="17">
        <f t="shared" si="2"/>
        <v>45046</v>
      </c>
      <c r="O164" t="str">
        <f>LEFT(Table1[[#This Row],[Department_Region]], FIND("-", Table1[[#This Row],[Department_Region]]) - 1)</f>
        <v>Finance</v>
      </c>
      <c r="P164" t="str">
        <f>RIGHT(Table1[[#This Row],[Department_Region]],LEN(Table1[[#This Row],[Department_Region]]) - FIND("-",Table1[[#This Row],[Department_Region]]))</f>
        <v>California</v>
      </c>
      <c r="Q1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64" s="15"/>
    </row>
    <row r="165" spans="1:18" x14ac:dyDescent="0.2">
      <c r="A165" s="1">
        <v>163</v>
      </c>
      <c r="B165" s="6" t="s">
        <v>391</v>
      </c>
      <c r="C165" t="s">
        <v>25</v>
      </c>
      <c r="D165" t="s">
        <v>20</v>
      </c>
      <c r="E165">
        <v>32</v>
      </c>
      <c r="F165" t="s">
        <v>215</v>
      </c>
      <c r="G165" t="s">
        <v>28</v>
      </c>
      <c r="H165" s="6" t="s">
        <v>1732</v>
      </c>
      <c r="I165" s="11">
        <v>54257.78</v>
      </c>
      <c r="J165" t="s">
        <v>81</v>
      </c>
      <c r="K165">
        <v>-7546926328</v>
      </c>
      <c r="L165" t="s">
        <v>41</v>
      </c>
      <c r="M165" t="b">
        <v>1</v>
      </c>
      <c r="N165" s="17">
        <f t="shared" si="2"/>
        <v>43894</v>
      </c>
      <c r="O165" t="str">
        <f>LEFT(Table1[[#This Row],[Department_Region]], FIND("-", Table1[[#This Row],[Department_Region]]) - 1)</f>
        <v>HR</v>
      </c>
      <c r="P165" t="str">
        <f>RIGHT(Table1[[#This Row],[Department_Region]],LEN(Table1[[#This Row],[Department_Region]]) - FIND("-",Table1[[#This Row],[Department_Region]]))</f>
        <v>Florida</v>
      </c>
      <c r="Q1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5" s="15"/>
    </row>
    <row r="166" spans="1:18" x14ac:dyDescent="0.2">
      <c r="A166" s="1">
        <v>164</v>
      </c>
      <c r="B166" s="6" t="s">
        <v>392</v>
      </c>
      <c r="C166" t="s">
        <v>69</v>
      </c>
      <c r="D166" t="s">
        <v>55</v>
      </c>
      <c r="E166">
        <v>40</v>
      </c>
      <c r="F166" t="s">
        <v>241</v>
      </c>
      <c r="G166" t="s">
        <v>33</v>
      </c>
      <c r="H166" s="6" t="s">
        <v>393</v>
      </c>
      <c r="I166" s="11">
        <v>113679.06</v>
      </c>
      <c r="J166" t="s">
        <v>129</v>
      </c>
      <c r="K166">
        <v>-6762916031</v>
      </c>
      <c r="L166" t="s">
        <v>41</v>
      </c>
      <c r="M166" t="b">
        <v>1</v>
      </c>
      <c r="N166" s="17">
        <f t="shared" si="2"/>
        <v>45289</v>
      </c>
      <c r="O166" t="str">
        <f>LEFT(Table1[[#This Row],[Department_Region]], FIND("-", Table1[[#This Row],[Department_Region]]) - 1)</f>
        <v>DevOps</v>
      </c>
      <c r="P166" t="str">
        <f>RIGHT(Table1[[#This Row],[Department_Region]],LEN(Table1[[#This Row],[Department_Region]]) - FIND("-",Table1[[#This Row],[Department_Region]]))</f>
        <v>Texas</v>
      </c>
      <c r="Q1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6" s="15"/>
    </row>
    <row r="167" spans="1:18" x14ac:dyDescent="0.2">
      <c r="A167" s="1">
        <v>165</v>
      </c>
      <c r="B167" s="6" t="s">
        <v>394</v>
      </c>
      <c r="C167" t="s">
        <v>13</v>
      </c>
      <c r="D167" t="s">
        <v>124</v>
      </c>
      <c r="E167">
        <v>35</v>
      </c>
      <c r="F167" t="s">
        <v>110</v>
      </c>
      <c r="G167" t="s">
        <v>16</v>
      </c>
      <c r="H167" s="6" t="s">
        <v>245</v>
      </c>
      <c r="I167" s="11">
        <v>69251.12</v>
      </c>
      <c r="J167" t="s">
        <v>125</v>
      </c>
      <c r="K167">
        <v>-4841376814</v>
      </c>
      <c r="L167" t="s">
        <v>41</v>
      </c>
      <c r="M167" t="b">
        <v>1</v>
      </c>
      <c r="N167" s="17">
        <f t="shared" si="2"/>
        <v>44089</v>
      </c>
      <c r="O167" t="str">
        <f>LEFT(Table1[[#This Row],[Department_Region]], FIND("-", Table1[[#This Row],[Department_Region]]) - 1)</f>
        <v>Sales</v>
      </c>
      <c r="P167" t="str">
        <f>RIGHT(Table1[[#This Row],[Department_Region]],LEN(Table1[[#This Row],[Department_Region]]) - FIND("-",Table1[[#This Row],[Department_Region]]))</f>
        <v>New York</v>
      </c>
      <c r="Q1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7" s="15"/>
    </row>
    <row r="168" spans="1:18" x14ac:dyDescent="0.2">
      <c r="A168" s="1">
        <v>166</v>
      </c>
      <c r="B168" s="6" t="s">
        <v>395</v>
      </c>
      <c r="C168" t="s">
        <v>37</v>
      </c>
      <c r="D168" t="s">
        <v>43</v>
      </c>
      <c r="E168">
        <v>40</v>
      </c>
      <c r="F168" t="s">
        <v>99</v>
      </c>
      <c r="G168" t="s">
        <v>33</v>
      </c>
      <c r="H168" s="6" t="s">
        <v>396</v>
      </c>
      <c r="I168" s="11">
        <v>85388.58</v>
      </c>
      <c r="J168" t="s">
        <v>183</v>
      </c>
      <c r="K168">
        <v>-1185672437</v>
      </c>
      <c r="L168" t="s">
        <v>41</v>
      </c>
      <c r="M168" t="b">
        <v>1</v>
      </c>
      <c r="N168" s="17">
        <f t="shared" si="2"/>
        <v>44760</v>
      </c>
      <c r="O168" t="str">
        <f>LEFT(Table1[[#This Row],[Department_Region]], FIND("-", Table1[[#This Row],[Department_Region]]) - 1)</f>
        <v>Sales</v>
      </c>
      <c r="P168" t="str">
        <f>RIGHT(Table1[[#This Row],[Department_Region]],LEN(Table1[[#This Row],[Department_Region]]) - FIND("-",Table1[[#This Row],[Department_Region]]))</f>
        <v>Illinois</v>
      </c>
      <c r="Q1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8" s="15"/>
    </row>
    <row r="169" spans="1:18" x14ac:dyDescent="0.2">
      <c r="A169" s="1">
        <v>167</v>
      </c>
      <c r="B169" s="6" t="s">
        <v>397</v>
      </c>
      <c r="C169" t="s">
        <v>13</v>
      </c>
      <c r="D169" t="s">
        <v>14</v>
      </c>
      <c r="E169">
        <v>32</v>
      </c>
      <c r="F169" t="s">
        <v>56</v>
      </c>
      <c r="G169" t="s">
        <v>33</v>
      </c>
      <c r="H169" s="6" t="s">
        <v>398</v>
      </c>
      <c r="I169" s="11">
        <v>112166.37</v>
      </c>
      <c r="J169" t="s">
        <v>17</v>
      </c>
      <c r="K169">
        <v>-701765635</v>
      </c>
      <c r="L169" t="s">
        <v>23</v>
      </c>
      <c r="M169" t="b">
        <v>0</v>
      </c>
      <c r="N169" s="17">
        <f t="shared" si="2"/>
        <v>44755</v>
      </c>
      <c r="O169" t="str">
        <f>LEFT(Table1[[#This Row],[Department_Region]], FIND("-", Table1[[#This Row],[Department_Region]]) - 1)</f>
        <v>DevOps</v>
      </c>
      <c r="P169" t="str">
        <f>RIGHT(Table1[[#This Row],[Department_Region]],LEN(Table1[[#This Row],[Department_Region]]) - FIND("-",Table1[[#This Row],[Department_Region]]))</f>
        <v>New York</v>
      </c>
      <c r="Q1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69" s="15"/>
    </row>
    <row r="170" spans="1:18" x14ac:dyDescent="0.2">
      <c r="A170" s="1">
        <v>168</v>
      </c>
      <c r="B170" s="6" t="s">
        <v>399</v>
      </c>
      <c r="C170" t="s">
        <v>65</v>
      </c>
      <c r="D170" t="s">
        <v>14</v>
      </c>
      <c r="E170">
        <v>40</v>
      </c>
      <c r="F170" t="s">
        <v>101</v>
      </c>
      <c r="G170" t="s">
        <v>16</v>
      </c>
      <c r="H170" s="6" t="s">
        <v>1733</v>
      </c>
      <c r="I170" s="11">
        <v>79873.48</v>
      </c>
      <c r="J170" t="s">
        <v>400</v>
      </c>
      <c r="K170">
        <v>-41257770</v>
      </c>
      <c r="L170" t="s">
        <v>18</v>
      </c>
      <c r="M170" t="b">
        <v>0</v>
      </c>
      <c r="N170" s="17">
        <f t="shared" si="2"/>
        <v>44471</v>
      </c>
      <c r="O170" t="str">
        <f>LEFT(Table1[[#This Row],[Department_Region]], FIND("-", Table1[[#This Row],[Department_Region]]) - 1)</f>
        <v>Finance</v>
      </c>
      <c r="P170" t="str">
        <f>RIGHT(Table1[[#This Row],[Department_Region]],LEN(Table1[[#This Row],[Department_Region]]) - FIND("-",Table1[[#This Row],[Department_Region]]))</f>
        <v>Nevada</v>
      </c>
      <c r="Q1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70" s="15"/>
    </row>
    <row r="171" spans="1:18" x14ac:dyDescent="0.2">
      <c r="A171" s="1">
        <v>169</v>
      </c>
      <c r="B171" s="6" t="s">
        <v>401</v>
      </c>
      <c r="C171" t="s">
        <v>37</v>
      </c>
      <c r="D171" t="s">
        <v>93</v>
      </c>
      <c r="E171">
        <v>30</v>
      </c>
      <c r="F171" t="s">
        <v>233</v>
      </c>
      <c r="G171" t="s">
        <v>16</v>
      </c>
      <c r="H171" s="6" t="s">
        <v>1734</v>
      </c>
      <c r="I171" s="11">
        <v>108224.03</v>
      </c>
      <c r="J171" t="s">
        <v>111</v>
      </c>
      <c r="K171">
        <v>-1837274219</v>
      </c>
      <c r="L171" t="s">
        <v>41</v>
      </c>
      <c r="M171" t="b">
        <v>1</v>
      </c>
      <c r="N171" s="17">
        <f t="shared" si="2"/>
        <v>44017</v>
      </c>
      <c r="O171" t="str">
        <f>LEFT(Table1[[#This Row],[Department_Region]], FIND("-", Table1[[#This Row],[Department_Region]]) - 1)</f>
        <v>DevOps</v>
      </c>
      <c r="P171" t="str">
        <f>RIGHT(Table1[[#This Row],[Department_Region]],LEN(Table1[[#This Row],[Department_Region]]) - FIND("-",Table1[[#This Row],[Department_Region]]))</f>
        <v>Florida</v>
      </c>
      <c r="Q1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71" s="15"/>
    </row>
    <row r="172" spans="1:18" x14ac:dyDescent="0.2">
      <c r="A172" s="1">
        <v>170</v>
      </c>
      <c r="B172" s="6" t="s">
        <v>402</v>
      </c>
      <c r="C172" t="s">
        <v>13</v>
      </c>
      <c r="D172" t="s">
        <v>43</v>
      </c>
      <c r="E172">
        <v>35</v>
      </c>
      <c r="F172" t="s">
        <v>90</v>
      </c>
      <c r="G172" t="s">
        <v>16</v>
      </c>
      <c r="H172" s="6" t="s">
        <v>403</v>
      </c>
      <c r="I172" s="11">
        <v>116963.72</v>
      </c>
      <c r="J172" t="s">
        <v>155</v>
      </c>
      <c r="K172">
        <v>-9124186209</v>
      </c>
      <c r="L172" t="s">
        <v>18</v>
      </c>
      <c r="M172" t="b">
        <v>1</v>
      </c>
      <c r="N172" s="17">
        <f t="shared" si="2"/>
        <v>45032</v>
      </c>
      <c r="O172" t="str">
        <f>LEFT(Table1[[#This Row],[Department_Region]], FIND("-", Table1[[#This Row],[Department_Region]]) - 1)</f>
        <v>Admin</v>
      </c>
      <c r="P172" t="str">
        <f>RIGHT(Table1[[#This Row],[Department_Region]],LEN(Table1[[#This Row],[Department_Region]]) - FIND("-",Table1[[#This Row],[Department_Region]]))</f>
        <v>Illinois</v>
      </c>
      <c r="Q1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72" s="15"/>
    </row>
    <row r="173" spans="1:18" x14ac:dyDescent="0.2">
      <c r="A173" s="1">
        <v>171</v>
      </c>
      <c r="B173" s="6" t="s">
        <v>404</v>
      </c>
      <c r="C173" t="s">
        <v>13</v>
      </c>
      <c r="D173" t="s">
        <v>26</v>
      </c>
      <c r="E173">
        <v>40</v>
      </c>
      <c r="F173" t="s">
        <v>151</v>
      </c>
      <c r="G173" t="s">
        <v>33</v>
      </c>
      <c r="H173" s="6" t="s">
        <v>405</v>
      </c>
      <c r="I173" s="11">
        <v>114109.06</v>
      </c>
      <c r="J173" t="s">
        <v>50</v>
      </c>
      <c r="K173">
        <v>-4275230836</v>
      </c>
      <c r="L173" t="s">
        <v>18</v>
      </c>
      <c r="M173" t="b">
        <v>1</v>
      </c>
      <c r="N173" s="17">
        <f t="shared" si="2"/>
        <v>45608</v>
      </c>
      <c r="O173" t="str">
        <f>LEFT(Table1[[#This Row],[Department_Region]], FIND("-", Table1[[#This Row],[Department_Region]]) - 1)</f>
        <v>HR</v>
      </c>
      <c r="P173" t="str">
        <f>RIGHT(Table1[[#This Row],[Department_Region]],LEN(Table1[[#This Row],[Department_Region]]) - FIND("-",Table1[[#This Row],[Department_Region]]))</f>
        <v>Nevada</v>
      </c>
      <c r="Q1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73" s="15"/>
    </row>
    <row r="174" spans="1:18" x14ac:dyDescent="0.2">
      <c r="A174" s="1">
        <v>172</v>
      </c>
      <c r="B174" s="6" t="s">
        <v>406</v>
      </c>
      <c r="C174" t="s">
        <v>32</v>
      </c>
      <c r="D174" t="s">
        <v>38</v>
      </c>
      <c r="E174">
        <v>32</v>
      </c>
      <c r="F174" t="s">
        <v>148</v>
      </c>
      <c r="G174" t="s">
        <v>16</v>
      </c>
      <c r="H174" s="6" t="s">
        <v>407</v>
      </c>
      <c r="I174" s="11">
        <v>85518.88</v>
      </c>
      <c r="J174" t="s">
        <v>143</v>
      </c>
      <c r="K174">
        <v>-816470899</v>
      </c>
      <c r="L174" t="s">
        <v>23</v>
      </c>
      <c r="M174" t="b">
        <v>0</v>
      </c>
      <c r="N174" s="17">
        <f t="shared" si="2"/>
        <v>45014</v>
      </c>
      <c r="O174" t="str">
        <f>LEFT(Table1[[#This Row],[Department_Region]], FIND("-", Table1[[#This Row],[Department_Region]]) - 1)</f>
        <v>HR</v>
      </c>
      <c r="P174" t="str">
        <f>RIGHT(Table1[[#This Row],[Department_Region]],LEN(Table1[[#This Row],[Department_Region]]) - FIND("-",Table1[[#This Row],[Department_Region]]))</f>
        <v>California</v>
      </c>
      <c r="Q1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74" s="15"/>
    </row>
    <row r="175" spans="1:18" x14ac:dyDescent="0.2">
      <c r="A175" s="1">
        <v>173</v>
      </c>
      <c r="B175" s="6" t="s">
        <v>408</v>
      </c>
      <c r="C175" t="s">
        <v>65</v>
      </c>
      <c r="D175" t="s">
        <v>20</v>
      </c>
      <c r="E175">
        <v>30</v>
      </c>
      <c r="F175" t="s">
        <v>272</v>
      </c>
      <c r="G175" t="s">
        <v>28</v>
      </c>
      <c r="H175" s="6" t="s">
        <v>409</v>
      </c>
      <c r="I175" s="11">
        <v>58041.97</v>
      </c>
      <c r="J175" t="s">
        <v>410</v>
      </c>
      <c r="K175">
        <v>-6335331059</v>
      </c>
      <c r="L175" t="s">
        <v>41</v>
      </c>
      <c r="M175" t="b">
        <v>1</v>
      </c>
      <c r="N175" s="17">
        <f t="shared" si="2"/>
        <v>44583</v>
      </c>
      <c r="O175" t="str">
        <f>LEFT(Table1[[#This Row],[Department_Region]], FIND("-", Table1[[#This Row],[Department_Region]]) - 1)</f>
        <v>Cloud Tech</v>
      </c>
      <c r="P175" t="str">
        <f>RIGHT(Table1[[#This Row],[Department_Region]],LEN(Table1[[#This Row],[Department_Region]]) - FIND("-",Table1[[#This Row],[Department_Region]]))</f>
        <v>California</v>
      </c>
      <c r="Q1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75" s="15"/>
    </row>
    <row r="176" spans="1:18" x14ac:dyDescent="0.2">
      <c r="A176" s="1">
        <v>174</v>
      </c>
      <c r="B176" s="6" t="s">
        <v>411</v>
      </c>
      <c r="C176" t="s">
        <v>59</v>
      </c>
      <c r="D176" t="s">
        <v>43</v>
      </c>
      <c r="E176">
        <v>40</v>
      </c>
      <c r="F176" t="s">
        <v>99</v>
      </c>
      <c r="G176" t="s">
        <v>28</v>
      </c>
      <c r="H176" s="6" t="s">
        <v>412</v>
      </c>
      <c r="I176" s="11">
        <v>94988.94</v>
      </c>
      <c r="J176" t="s">
        <v>102</v>
      </c>
      <c r="K176">
        <v>-531312205</v>
      </c>
      <c r="L176" t="s">
        <v>30</v>
      </c>
      <c r="M176" t="b">
        <v>0</v>
      </c>
      <c r="N176" s="17">
        <f t="shared" si="2"/>
        <v>45213</v>
      </c>
      <c r="O176" t="str">
        <f>LEFT(Table1[[#This Row],[Department_Region]], FIND("-", Table1[[#This Row],[Department_Region]]) - 1)</f>
        <v>Sales</v>
      </c>
      <c r="P176" t="str">
        <f>RIGHT(Table1[[#This Row],[Department_Region]],LEN(Table1[[#This Row],[Department_Region]]) - FIND("-",Table1[[#This Row],[Department_Region]]))</f>
        <v>Illinois</v>
      </c>
      <c r="Q1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76" s="15"/>
    </row>
    <row r="177" spans="1:18" x14ac:dyDescent="0.2">
      <c r="A177" s="1">
        <v>175</v>
      </c>
      <c r="B177" s="6" t="s">
        <v>413</v>
      </c>
      <c r="C177" t="s">
        <v>32</v>
      </c>
      <c r="D177" t="s">
        <v>93</v>
      </c>
      <c r="E177">
        <v>25</v>
      </c>
      <c r="F177" t="s">
        <v>120</v>
      </c>
      <c r="G177" t="s">
        <v>28</v>
      </c>
      <c r="H177" s="6" t="s">
        <v>1735</v>
      </c>
      <c r="I177" s="11">
        <v>71628.929999999993</v>
      </c>
      <c r="J177" t="s">
        <v>267</v>
      </c>
      <c r="K177">
        <v>-8155839385</v>
      </c>
      <c r="L177" t="s">
        <v>23</v>
      </c>
      <c r="M177" t="b">
        <v>0</v>
      </c>
      <c r="N177" s="17">
        <f t="shared" si="2"/>
        <v>45392</v>
      </c>
      <c r="O177" t="str">
        <f>LEFT(Table1[[#This Row],[Department_Region]], FIND("-", Table1[[#This Row],[Department_Region]]) - 1)</f>
        <v>Admin</v>
      </c>
      <c r="P177" t="str">
        <f>RIGHT(Table1[[#This Row],[Department_Region]],LEN(Table1[[#This Row],[Department_Region]]) - FIND("-",Table1[[#This Row],[Department_Region]]))</f>
        <v>California</v>
      </c>
      <c r="Q1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77" s="15"/>
    </row>
    <row r="178" spans="1:18" x14ac:dyDescent="0.2">
      <c r="A178" s="1">
        <v>176</v>
      </c>
      <c r="B178" s="6" t="s">
        <v>414</v>
      </c>
      <c r="C178" t="s">
        <v>25</v>
      </c>
      <c r="D178" t="s">
        <v>38</v>
      </c>
      <c r="E178">
        <v>30</v>
      </c>
      <c r="F178" t="s">
        <v>90</v>
      </c>
      <c r="G178" t="s">
        <v>28</v>
      </c>
      <c r="H178" s="6" t="s">
        <v>287</v>
      </c>
      <c r="I178" s="11">
        <v>54870.98</v>
      </c>
      <c r="J178" t="s">
        <v>368</v>
      </c>
      <c r="K178">
        <v>-6133155205</v>
      </c>
      <c r="L178" t="s">
        <v>30</v>
      </c>
      <c r="M178" t="b">
        <v>0</v>
      </c>
      <c r="N178" s="17">
        <f t="shared" si="2"/>
        <v>44651</v>
      </c>
      <c r="O178" t="str">
        <f>LEFT(Table1[[#This Row],[Department_Region]], FIND("-", Table1[[#This Row],[Department_Region]]) - 1)</f>
        <v>Admin</v>
      </c>
      <c r="P178" t="str">
        <f>RIGHT(Table1[[#This Row],[Department_Region]],LEN(Table1[[#This Row],[Department_Region]]) - FIND("-",Table1[[#This Row],[Department_Region]]))</f>
        <v>Illinois</v>
      </c>
      <c r="Q1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78" s="15"/>
    </row>
    <row r="179" spans="1:18" x14ac:dyDescent="0.2">
      <c r="A179" s="1">
        <v>177</v>
      </c>
      <c r="B179" s="6" t="s">
        <v>415</v>
      </c>
      <c r="C179" t="s">
        <v>25</v>
      </c>
      <c r="D179" t="s">
        <v>38</v>
      </c>
      <c r="E179">
        <v>25</v>
      </c>
      <c r="F179" t="s">
        <v>79</v>
      </c>
      <c r="G179" t="s">
        <v>16</v>
      </c>
      <c r="H179" s="6" t="s">
        <v>1736</v>
      </c>
      <c r="I179" s="11">
        <v>79388.27</v>
      </c>
      <c r="J179" t="s">
        <v>368</v>
      </c>
      <c r="K179">
        <v>-5063731494</v>
      </c>
      <c r="L179" t="s">
        <v>18</v>
      </c>
      <c r="M179" t="b">
        <v>1</v>
      </c>
      <c r="N179" s="17">
        <f t="shared" si="2"/>
        <v>44601</v>
      </c>
      <c r="O179" t="str">
        <f>LEFT(Table1[[#This Row],[Department_Region]], FIND("-", Table1[[#This Row],[Department_Region]]) - 1)</f>
        <v>DevOps</v>
      </c>
      <c r="P179" t="str">
        <f>RIGHT(Table1[[#This Row],[Department_Region]],LEN(Table1[[#This Row],[Department_Region]]) - FIND("-",Table1[[#This Row],[Department_Region]]))</f>
        <v>Illinois</v>
      </c>
      <c r="Q1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79" s="15"/>
    </row>
    <row r="180" spans="1:18" x14ac:dyDescent="0.2">
      <c r="A180" s="1">
        <v>178</v>
      </c>
      <c r="B180" s="6" t="s">
        <v>416</v>
      </c>
      <c r="C180" t="s">
        <v>37</v>
      </c>
      <c r="D180" t="s">
        <v>124</v>
      </c>
      <c r="E180">
        <v>35</v>
      </c>
      <c r="F180" t="s">
        <v>15</v>
      </c>
      <c r="G180" t="s">
        <v>28</v>
      </c>
      <c r="H180" s="6" t="s">
        <v>1737</v>
      </c>
      <c r="I180" s="11">
        <v>55946.99</v>
      </c>
      <c r="J180" t="s">
        <v>139</v>
      </c>
      <c r="K180">
        <v>-136497188</v>
      </c>
      <c r="L180" t="s">
        <v>18</v>
      </c>
      <c r="M180" t="b">
        <v>0</v>
      </c>
      <c r="N180" s="17">
        <f t="shared" si="2"/>
        <v>45052</v>
      </c>
      <c r="O180" t="str">
        <f>LEFT(Table1[[#This Row],[Department_Region]], FIND("-", Table1[[#This Row],[Department_Region]]) - 1)</f>
        <v>DevOps</v>
      </c>
      <c r="P180" t="str">
        <f>RIGHT(Table1[[#This Row],[Department_Region]],LEN(Table1[[#This Row],[Department_Region]]) - FIND("-",Table1[[#This Row],[Department_Region]]))</f>
        <v>California</v>
      </c>
      <c r="Q1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80" s="15"/>
    </row>
    <row r="181" spans="1:18" x14ac:dyDescent="0.2">
      <c r="A181" s="1">
        <v>179</v>
      </c>
      <c r="B181" s="6" t="s">
        <v>417</v>
      </c>
      <c r="C181" t="s">
        <v>54</v>
      </c>
      <c r="D181" t="s">
        <v>38</v>
      </c>
      <c r="E181">
        <v>32</v>
      </c>
      <c r="F181" t="s">
        <v>86</v>
      </c>
      <c r="G181" t="s">
        <v>16</v>
      </c>
      <c r="H181" s="6" t="s">
        <v>1738</v>
      </c>
      <c r="I181" s="11">
        <v>81017.91</v>
      </c>
      <c r="J181" t="s">
        <v>91</v>
      </c>
      <c r="K181">
        <v>-2419562524</v>
      </c>
      <c r="L181" t="s">
        <v>23</v>
      </c>
      <c r="M181" t="b">
        <v>1</v>
      </c>
      <c r="N181" s="17">
        <f t="shared" si="2"/>
        <v>44388</v>
      </c>
      <c r="O181" t="str">
        <f>LEFT(Table1[[#This Row],[Department_Region]], FIND("-", Table1[[#This Row],[Department_Region]]) - 1)</f>
        <v>Cloud Tech</v>
      </c>
      <c r="P181" t="str">
        <f>RIGHT(Table1[[#This Row],[Department_Region]],LEN(Table1[[#This Row],[Department_Region]]) - FIND("-",Table1[[#This Row],[Department_Region]]))</f>
        <v>Nevada</v>
      </c>
      <c r="Q1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81" s="15"/>
    </row>
    <row r="182" spans="1:18" x14ac:dyDescent="0.2">
      <c r="A182" s="1">
        <v>180</v>
      </c>
      <c r="B182" s="6" t="s">
        <v>418</v>
      </c>
      <c r="C182" t="s">
        <v>65</v>
      </c>
      <c r="D182" t="s">
        <v>26</v>
      </c>
      <c r="E182">
        <v>40</v>
      </c>
      <c r="F182" t="s">
        <v>66</v>
      </c>
      <c r="G182" t="s">
        <v>28</v>
      </c>
      <c r="H182" s="6" t="s">
        <v>419</v>
      </c>
      <c r="I182" s="11">
        <v>74162.100000000006</v>
      </c>
      <c r="J182" t="s">
        <v>324</v>
      </c>
      <c r="K182">
        <v>-7150997682</v>
      </c>
      <c r="L182" t="s">
        <v>23</v>
      </c>
      <c r="M182" t="b">
        <v>0</v>
      </c>
      <c r="N182" s="17">
        <f t="shared" si="2"/>
        <v>44064</v>
      </c>
      <c r="O182" t="str">
        <f>LEFT(Table1[[#This Row],[Department_Region]], FIND("-", Table1[[#This Row],[Department_Region]]) - 1)</f>
        <v>HR</v>
      </c>
      <c r="P182" t="str">
        <f>RIGHT(Table1[[#This Row],[Department_Region]],LEN(Table1[[#This Row],[Department_Region]]) - FIND("-",Table1[[#This Row],[Department_Region]]))</f>
        <v>New York</v>
      </c>
      <c r="Q1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82" s="15"/>
    </row>
    <row r="183" spans="1:18" x14ac:dyDescent="0.2">
      <c r="A183" s="1">
        <v>181</v>
      </c>
      <c r="B183" s="6" t="s">
        <v>420</v>
      </c>
      <c r="C183" t="s">
        <v>65</v>
      </c>
      <c r="D183" t="s">
        <v>14</v>
      </c>
      <c r="E183">
        <v>32</v>
      </c>
      <c r="F183" t="s">
        <v>15</v>
      </c>
      <c r="G183" t="s">
        <v>16</v>
      </c>
      <c r="H183" s="6" t="s">
        <v>421</v>
      </c>
      <c r="I183" s="11">
        <v>77668.44</v>
      </c>
      <c r="J183" t="s">
        <v>400</v>
      </c>
      <c r="K183">
        <v>-8903091435</v>
      </c>
      <c r="L183" t="s">
        <v>30</v>
      </c>
      <c r="M183" t="b">
        <v>1</v>
      </c>
      <c r="N183" s="17">
        <f t="shared" si="2"/>
        <v>44282</v>
      </c>
      <c r="O183" t="str">
        <f>LEFT(Table1[[#This Row],[Department_Region]], FIND("-", Table1[[#This Row],[Department_Region]]) - 1)</f>
        <v>DevOps</v>
      </c>
      <c r="P183" t="str">
        <f>RIGHT(Table1[[#This Row],[Department_Region]],LEN(Table1[[#This Row],[Department_Region]]) - FIND("-",Table1[[#This Row],[Department_Region]]))</f>
        <v>California</v>
      </c>
      <c r="Q1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83" s="15"/>
    </row>
    <row r="184" spans="1:18" x14ac:dyDescent="0.2">
      <c r="A184" s="1">
        <v>182</v>
      </c>
      <c r="B184" s="6" t="s">
        <v>422</v>
      </c>
      <c r="C184" t="s">
        <v>25</v>
      </c>
      <c r="D184" t="s">
        <v>93</v>
      </c>
      <c r="E184">
        <v>30</v>
      </c>
      <c r="F184" t="s">
        <v>66</v>
      </c>
      <c r="G184" t="s">
        <v>16</v>
      </c>
      <c r="H184" s="6" t="s">
        <v>423</v>
      </c>
      <c r="I184" s="11">
        <v>67886.37</v>
      </c>
      <c r="J184" t="s">
        <v>168</v>
      </c>
      <c r="K184">
        <v>-3910257431</v>
      </c>
      <c r="L184" t="s">
        <v>41</v>
      </c>
      <c r="M184" t="b">
        <v>0</v>
      </c>
      <c r="N184" s="17">
        <f t="shared" si="2"/>
        <v>45396</v>
      </c>
      <c r="O184" t="str">
        <f>LEFT(Table1[[#This Row],[Department_Region]], FIND("-", Table1[[#This Row],[Department_Region]]) - 1)</f>
        <v>HR</v>
      </c>
      <c r="P184" t="str">
        <f>RIGHT(Table1[[#This Row],[Department_Region]],LEN(Table1[[#This Row],[Department_Region]]) - FIND("-",Table1[[#This Row],[Department_Region]]))</f>
        <v>New York</v>
      </c>
      <c r="Q1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84" s="15"/>
    </row>
    <row r="185" spans="1:18" x14ac:dyDescent="0.2">
      <c r="A185" s="1">
        <v>183</v>
      </c>
      <c r="B185" s="6" t="s">
        <v>424</v>
      </c>
      <c r="C185" t="s">
        <v>25</v>
      </c>
      <c r="D185" t="s">
        <v>38</v>
      </c>
      <c r="E185">
        <v>40</v>
      </c>
      <c r="F185" t="s">
        <v>233</v>
      </c>
      <c r="G185" t="s">
        <v>16</v>
      </c>
      <c r="H185" s="6" t="s">
        <v>425</v>
      </c>
      <c r="I185" s="11">
        <v>76614.52</v>
      </c>
      <c r="J185" t="s">
        <v>368</v>
      </c>
      <c r="K185">
        <v>-6303975244</v>
      </c>
      <c r="L185" t="s">
        <v>30</v>
      </c>
      <c r="M185" t="b">
        <v>1</v>
      </c>
      <c r="N185" s="17">
        <f t="shared" si="2"/>
        <v>44095</v>
      </c>
      <c r="O185" t="str">
        <f>LEFT(Table1[[#This Row],[Department_Region]], FIND("-", Table1[[#This Row],[Department_Region]]) - 1)</f>
        <v>DevOps</v>
      </c>
      <c r="P185" t="str">
        <f>RIGHT(Table1[[#This Row],[Department_Region]],LEN(Table1[[#This Row],[Department_Region]]) - FIND("-",Table1[[#This Row],[Department_Region]]))</f>
        <v>Florida</v>
      </c>
      <c r="Q1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85" s="15"/>
    </row>
    <row r="186" spans="1:18" x14ac:dyDescent="0.2">
      <c r="A186" s="1">
        <v>184</v>
      </c>
      <c r="B186" s="6" t="s">
        <v>426</v>
      </c>
      <c r="C186" t="s">
        <v>37</v>
      </c>
      <c r="D186" t="s">
        <v>124</v>
      </c>
      <c r="E186">
        <v>25</v>
      </c>
      <c r="F186" t="s">
        <v>101</v>
      </c>
      <c r="G186" t="s">
        <v>16</v>
      </c>
      <c r="H186" s="6" t="s">
        <v>1739</v>
      </c>
      <c r="I186" s="11">
        <v>51311.91</v>
      </c>
      <c r="J186" t="s">
        <v>139</v>
      </c>
      <c r="K186">
        <v>-864035532</v>
      </c>
      <c r="L186" t="s">
        <v>23</v>
      </c>
      <c r="M186" t="b">
        <v>0</v>
      </c>
      <c r="N186" s="17">
        <f t="shared" si="2"/>
        <v>44724</v>
      </c>
      <c r="O186" t="str">
        <f>LEFT(Table1[[#This Row],[Department_Region]], FIND("-", Table1[[#This Row],[Department_Region]]) - 1)</f>
        <v>Finance</v>
      </c>
      <c r="P186" t="str">
        <f>RIGHT(Table1[[#This Row],[Department_Region]],LEN(Table1[[#This Row],[Department_Region]]) - FIND("-",Table1[[#This Row],[Department_Region]]))</f>
        <v>Nevada</v>
      </c>
      <c r="Q1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86" s="15"/>
    </row>
    <row r="187" spans="1:18" x14ac:dyDescent="0.2">
      <c r="A187" s="1">
        <v>185</v>
      </c>
      <c r="B187" s="6" t="s">
        <v>427</v>
      </c>
      <c r="C187" t="s">
        <v>37</v>
      </c>
      <c r="D187" t="s">
        <v>26</v>
      </c>
      <c r="E187">
        <v>32</v>
      </c>
      <c r="F187" t="s">
        <v>269</v>
      </c>
      <c r="G187" t="s">
        <v>33</v>
      </c>
      <c r="H187" s="6" t="s">
        <v>319</v>
      </c>
      <c r="I187" s="11">
        <v>94809.919999999998</v>
      </c>
      <c r="J187" t="s">
        <v>47</v>
      </c>
      <c r="K187">
        <v>-8033968526</v>
      </c>
      <c r="L187" t="s">
        <v>30</v>
      </c>
      <c r="M187" t="b">
        <v>1</v>
      </c>
      <c r="N187" s="17">
        <f t="shared" si="2"/>
        <v>45284</v>
      </c>
      <c r="O187" t="str">
        <f>LEFT(Table1[[#This Row],[Department_Region]], FIND("-", Table1[[#This Row],[Department_Region]]) - 1)</f>
        <v>Finance</v>
      </c>
      <c r="P187" t="str">
        <f>RIGHT(Table1[[#This Row],[Department_Region]],LEN(Table1[[#This Row],[Department_Region]]) - FIND("-",Table1[[#This Row],[Department_Region]]))</f>
        <v>Illinois</v>
      </c>
      <c r="Q1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87" s="15"/>
    </row>
    <row r="188" spans="1:18" x14ac:dyDescent="0.2">
      <c r="A188" s="1">
        <v>186</v>
      </c>
      <c r="B188" s="6" t="s">
        <v>428</v>
      </c>
      <c r="C188" t="s">
        <v>69</v>
      </c>
      <c r="D188" t="s">
        <v>55</v>
      </c>
      <c r="E188">
        <v>25</v>
      </c>
      <c r="F188" t="s">
        <v>66</v>
      </c>
      <c r="G188" t="s">
        <v>28</v>
      </c>
      <c r="H188" s="6" t="s">
        <v>429</v>
      </c>
      <c r="I188" s="11">
        <v>108241.81</v>
      </c>
      <c r="J188" t="s">
        <v>129</v>
      </c>
      <c r="K188">
        <v>-171302320</v>
      </c>
      <c r="L188" t="s">
        <v>23</v>
      </c>
      <c r="M188" t="b">
        <v>1</v>
      </c>
      <c r="N188" s="17">
        <f t="shared" si="2"/>
        <v>44773</v>
      </c>
      <c r="O188" t="str">
        <f>LEFT(Table1[[#This Row],[Department_Region]], FIND("-", Table1[[#This Row],[Department_Region]]) - 1)</f>
        <v>HR</v>
      </c>
      <c r="P188" t="str">
        <f>RIGHT(Table1[[#This Row],[Department_Region]],LEN(Table1[[#This Row],[Department_Region]]) - FIND("-",Table1[[#This Row],[Department_Region]]))</f>
        <v>New York</v>
      </c>
      <c r="Q1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88" s="15"/>
    </row>
    <row r="189" spans="1:18" x14ac:dyDescent="0.2">
      <c r="A189" s="1">
        <v>187</v>
      </c>
      <c r="B189" s="6" t="s">
        <v>430</v>
      </c>
      <c r="C189" t="s">
        <v>13</v>
      </c>
      <c r="D189" t="s">
        <v>14</v>
      </c>
      <c r="E189">
        <v>40</v>
      </c>
      <c r="F189" t="s">
        <v>60</v>
      </c>
      <c r="G189" t="s">
        <v>33</v>
      </c>
      <c r="H189" s="6" t="s">
        <v>431</v>
      </c>
      <c r="I189" s="11">
        <v>78031.490000000005</v>
      </c>
      <c r="J189" t="s">
        <v>17</v>
      </c>
      <c r="K189">
        <v>-2983381673</v>
      </c>
      <c r="L189" t="s">
        <v>30</v>
      </c>
      <c r="M189" t="b">
        <v>1</v>
      </c>
      <c r="N189" s="17">
        <f t="shared" si="2"/>
        <v>45037</v>
      </c>
      <c r="O189" t="str">
        <f>LEFT(Table1[[#This Row],[Department_Region]], FIND("-", Table1[[#This Row],[Department_Region]]) - 1)</f>
        <v>Cloud Tech</v>
      </c>
      <c r="P189" t="str">
        <f>RIGHT(Table1[[#This Row],[Department_Region]],LEN(Table1[[#This Row],[Department_Region]]) - FIND("-",Table1[[#This Row],[Department_Region]]))</f>
        <v>New York</v>
      </c>
      <c r="Q1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89" s="15"/>
    </row>
    <row r="190" spans="1:18" x14ac:dyDescent="0.2">
      <c r="A190" s="1">
        <v>188</v>
      </c>
      <c r="B190" s="6" t="s">
        <v>432</v>
      </c>
      <c r="C190" t="s">
        <v>32</v>
      </c>
      <c r="D190" t="s">
        <v>14</v>
      </c>
      <c r="E190">
        <v>35</v>
      </c>
      <c r="F190" t="s">
        <v>120</v>
      </c>
      <c r="G190" t="s">
        <v>16</v>
      </c>
      <c r="H190" s="6" t="s">
        <v>1740</v>
      </c>
      <c r="I190" s="11">
        <v>85733.83</v>
      </c>
      <c r="J190" t="s">
        <v>35</v>
      </c>
      <c r="K190">
        <v>-2336293448</v>
      </c>
      <c r="L190" t="s">
        <v>23</v>
      </c>
      <c r="M190" t="b">
        <v>1</v>
      </c>
      <c r="N190" s="17">
        <f t="shared" si="2"/>
        <v>43987</v>
      </c>
      <c r="O190" t="str">
        <f>LEFT(Table1[[#This Row],[Department_Region]], FIND("-", Table1[[#This Row],[Department_Region]]) - 1)</f>
        <v>Admin</v>
      </c>
      <c r="P190" t="str">
        <f>RIGHT(Table1[[#This Row],[Department_Region]],LEN(Table1[[#This Row],[Department_Region]]) - FIND("-",Table1[[#This Row],[Department_Region]]))</f>
        <v>California</v>
      </c>
      <c r="Q1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90" s="15"/>
    </row>
    <row r="191" spans="1:18" x14ac:dyDescent="0.2">
      <c r="A191" s="1">
        <v>189</v>
      </c>
      <c r="B191" s="6" t="s">
        <v>433</v>
      </c>
      <c r="C191" t="s">
        <v>59</v>
      </c>
      <c r="D191" t="s">
        <v>93</v>
      </c>
      <c r="E191">
        <v>35</v>
      </c>
      <c r="F191" t="s">
        <v>151</v>
      </c>
      <c r="G191" t="s">
        <v>28</v>
      </c>
      <c r="H191" s="6" t="s">
        <v>434</v>
      </c>
      <c r="I191" s="11">
        <v>60338.29</v>
      </c>
      <c r="J191" t="s">
        <v>108</v>
      </c>
      <c r="K191">
        <v>-7347156626</v>
      </c>
      <c r="L191" t="s">
        <v>23</v>
      </c>
      <c r="M191" t="b">
        <v>0</v>
      </c>
      <c r="N191" s="17">
        <f t="shared" si="2"/>
        <v>45500</v>
      </c>
      <c r="O191" t="str">
        <f>LEFT(Table1[[#This Row],[Department_Region]], FIND("-", Table1[[#This Row],[Department_Region]]) - 1)</f>
        <v>HR</v>
      </c>
      <c r="P191" t="str">
        <f>RIGHT(Table1[[#This Row],[Department_Region]],LEN(Table1[[#This Row],[Department_Region]]) - FIND("-",Table1[[#This Row],[Department_Region]]))</f>
        <v>Nevada</v>
      </c>
      <c r="Q1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91" s="15"/>
    </row>
    <row r="192" spans="1:18" x14ac:dyDescent="0.2">
      <c r="A192" s="1">
        <v>190</v>
      </c>
      <c r="B192" s="6" t="s">
        <v>435</v>
      </c>
      <c r="C192" t="s">
        <v>32</v>
      </c>
      <c r="D192" t="s">
        <v>14</v>
      </c>
      <c r="E192">
        <v>30</v>
      </c>
      <c r="F192" t="s">
        <v>90</v>
      </c>
      <c r="G192" t="s">
        <v>16</v>
      </c>
      <c r="H192" s="6" t="s">
        <v>1741</v>
      </c>
      <c r="I192" s="11">
        <v>103140.67</v>
      </c>
      <c r="J192" t="s">
        <v>35</v>
      </c>
      <c r="K192">
        <v>-7689627065</v>
      </c>
      <c r="L192" t="s">
        <v>23</v>
      </c>
      <c r="M192" t="b">
        <v>0</v>
      </c>
      <c r="N192" s="17">
        <f t="shared" si="2"/>
        <v>45387</v>
      </c>
      <c r="O192" t="str">
        <f>LEFT(Table1[[#This Row],[Department_Region]], FIND("-", Table1[[#This Row],[Department_Region]]) - 1)</f>
        <v>Admin</v>
      </c>
      <c r="P192" t="str">
        <f>RIGHT(Table1[[#This Row],[Department_Region]],LEN(Table1[[#This Row],[Department_Region]]) - FIND("-",Table1[[#This Row],[Department_Region]]))</f>
        <v>Illinois</v>
      </c>
      <c r="Q1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92" s="15"/>
    </row>
    <row r="193" spans="1:18" x14ac:dyDescent="0.2">
      <c r="A193" s="1">
        <v>191</v>
      </c>
      <c r="B193" s="6" t="s">
        <v>436</v>
      </c>
      <c r="C193" t="s">
        <v>65</v>
      </c>
      <c r="D193" t="s">
        <v>38</v>
      </c>
      <c r="E193">
        <v>40</v>
      </c>
      <c r="F193" t="s">
        <v>99</v>
      </c>
      <c r="G193" t="s">
        <v>33</v>
      </c>
      <c r="H193" s="6" t="s">
        <v>437</v>
      </c>
      <c r="I193" s="11">
        <v>114690.8</v>
      </c>
      <c r="J193" t="s">
        <v>67</v>
      </c>
      <c r="K193">
        <v>-1498282466</v>
      </c>
      <c r="L193" t="s">
        <v>41</v>
      </c>
      <c r="M193" t="b">
        <v>1</v>
      </c>
      <c r="N193" s="17">
        <f t="shared" si="2"/>
        <v>45225</v>
      </c>
      <c r="O193" t="str">
        <f>LEFT(Table1[[#This Row],[Department_Region]], FIND("-", Table1[[#This Row],[Department_Region]]) - 1)</f>
        <v>Sales</v>
      </c>
      <c r="P193" t="str">
        <f>RIGHT(Table1[[#This Row],[Department_Region]],LEN(Table1[[#This Row],[Department_Region]]) - FIND("-",Table1[[#This Row],[Department_Region]]))</f>
        <v>Illinois</v>
      </c>
      <c r="Q1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93" s="15"/>
    </row>
    <row r="194" spans="1:18" x14ac:dyDescent="0.2">
      <c r="A194" s="1">
        <v>192</v>
      </c>
      <c r="B194" s="6" t="s">
        <v>438</v>
      </c>
      <c r="C194" t="s">
        <v>37</v>
      </c>
      <c r="D194" t="s">
        <v>124</v>
      </c>
      <c r="E194">
        <v>35</v>
      </c>
      <c r="F194" t="s">
        <v>208</v>
      </c>
      <c r="G194" t="s">
        <v>16</v>
      </c>
      <c r="H194" s="6" t="s">
        <v>439</v>
      </c>
      <c r="I194" s="11">
        <v>80954.559999999998</v>
      </c>
      <c r="J194" t="s">
        <v>139</v>
      </c>
      <c r="K194">
        <v>-4746897151</v>
      </c>
      <c r="L194" t="s">
        <v>30</v>
      </c>
      <c r="M194" t="b">
        <v>0</v>
      </c>
      <c r="N194" s="17">
        <f t="shared" ref="N194:N257" si="3">IF(ISNUMBER(H194), H194, DATE(RIGHT(H194, 4), LEFT(H194, FIND("/", H194) - 1), MID(H194, FIND("/", H194) + 1, FIND("/", H194, FIND("/", H194) + 1) - FIND("/", H194) - 1)))</f>
        <v>44791</v>
      </c>
      <c r="O194" t="str">
        <f>LEFT(Table1[[#This Row],[Department_Region]], FIND("-", Table1[[#This Row],[Department_Region]]) - 1)</f>
        <v>Admin</v>
      </c>
      <c r="P194" t="str">
        <f>RIGHT(Table1[[#This Row],[Department_Region]],LEN(Table1[[#This Row],[Department_Region]]) - FIND("-",Table1[[#This Row],[Department_Region]]))</f>
        <v>Florida</v>
      </c>
      <c r="Q1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94" s="15"/>
    </row>
    <row r="195" spans="1:18" x14ac:dyDescent="0.2">
      <c r="A195" s="1">
        <v>193</v>
      </c>
      <c r="B195" s="6" t="s">
        <v>440</v>
      </c>
      <c r="C195" t="s">
        <v>32</v>
      </c>
      <c r="D195" t="s">
        <v>14</v>
      </c>
      <c r="E195">
        <v>32</v>
      </c>
      <c r="F195" t="s">
        <v>272</v>
      </c>
      <c r="G195" t="s">
        <v>28</v>
      </c>
      <c r="H195" s="6" t="s">
        <v>441</v>
      </c>
      <c r="I195" s="11">
        <v>71728.55</v>
      </c>
      <c r="J195" t="s">
        <v>35</v>
      </c>
      <c r="K195">
        <v>-7323008575</v>
      </c>
      <c r="L195" t="s">
        <v>30</v>
      </c>
      <c r="M195" t="b">
        <v>1</v>
      </c>
      <c r="N195" s="17">
        <f t="shared" si="3"/>
        <v>43982</v>
      </c>
      <c r="O195" t="str">
        <f>LEFT(Table1[[#This Row],[Department_Region]], FIND("-", Table1[[#This Row],[Department_Region]]) - 1)</f>
        <v>Cloud Tech</v>
      </c>
      <c r="P195" t="str">
        <f>RIGHT(Table1[[#This Row],[Department_Region]],LEN(Table1[[#This Row],[Department_Region]]) - FIND("-",Table1[[#This Row],[Department_Region]]))</f>
        <v>California</v>
      </c>
      <c r="Q1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95" s="15"/>
    </row>
    <row r="196" spans="1:18" x14ac:dyDescent="0.2">
      <c r="A196" s="1">
        <v>194</v>
      </c>
      <c r="B196" s="6" t="s">
        <v>442</v>
      </c>
      <c r="C196" t="s">
        <v>25</v>
      </c>
      <c r="D196" t="s">
        <v>14</v>
      </c>
      <c r="E196">
        <v>35</v>
      </c>
      <c r="F196" t="s">
        <v>141</v>
      </c>
      <c r="G196" t="s">
        <v>28</v>
      </c>
      <c r="H196" s="6" t="s">
        <v>1742</v>
      </c>
      <c r="I196" s="11">
        <v>118415.8</v>
      </c>
      <c r="J196" t="s">
        <v>165</v>
      </c>
      <c r="K196">
        <v>-6656749159</v>
      </c>
      <c r="L196" t="s">
        <v>30</v>
      </c>
      <c r="M196" t="b">
        <v>1</v>
      </c>
      <c r="N196" s="17">
        <f t="shared" si="3"/>
        <v>45600</v>
      </c>
      <c r="O196" t="str">
        <f>LEFT(Table1[[#This Row],[Department_Region]], FIND("-", Table1[[#This Row],[Department_Region]]) - 1)</f>
        <v>HR</v>
      </c>
      <c r="P196" t="str">
        <f>RIGHT(Table1[[#This Row],[Department_Region]],LEN(Table1[[#This Row],[Department_Region]]) - FIND("-",Table1[[#This Row],[Department_Region]]))</f>
        <v>Texas</v>
      </c>
      <c r="Q1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96" s="15"/>
    </row>
    <row r="197" spans="1:18" x14ac:dyDescent="0.2">
      <c r="A197" s="1">
        <v>195</v>
      </c>
      <c r="B197" s="6" t="s">
        <v>443</v>
      </c>
      <c r="C197" t="s">
        <v>69</v>
      </c>
      <c r="D197" t="s">
        <v>55</v>
      </c>
      <c r="E197">
        <v>40</v>
      </c>
      <c r="F197" t="s">
        <v>99</v>
      </c>
      <c r="G197" t="s">
        <v>28</v>
      </c>
      <c r="H197" s="6" t="s">
        <v>444</v>
      </c>
      <c r="I197" s="11">
        <v>81481.36</v>
      </c>
      <c r="J197" t="s">
        <v>129</v>
      </c>
      <c r="K197">
        <v>-1692364586</v>
      </c>
      <c r="L197" t="s">
        <v>23</v>
      </c>
      <c r="M197" t="b">
        <v>0</v>
      </c>
      <c r="N197" s="17">
        <f t="shared" si="3"/>
        <v>43915</v>
      </c>
      <c r="O197" t="str">
        <f>LEFT(Table1[[#This Row],[Department_Region]], FIND("-", Table1[[#This Row],[Department_Region]]) - 1)</f>
        <v>Sales</v>
      </c>
      <c r="P197" t="str">
        <f>RIGHT(Table1[[#This Row],[Department_Region]],LEN(Table1[[#This Row],[Department_Region]]) - FIND("-",Table1[[#This Row],[Department_Region]]))</f>
        <v>Illinois</v>
      </c>
      <c r="Q1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97" s="15"/>
    </row>
    <row r="198" spans="1:18" x14ac:dyDescent="0.2">
      <c r="A198" s="1">
        <v>196</v>
      </c>
      <c r="B198" s="6" t="s">
        <v>445</v>
      </c>
      <c r="C198" t="s">
        <v>59</v>
      </c>
      <c r="D198" t="s">
        <v>55</v>
      </c>
      <c r="E198">
        <v>35</v>
      </c>
      <c r="F198" t="s">
        <v>75</v>
      </c>
      <c r="G198" t="s">
        <v>28</v>
      </c>
      <c r="H198" s="6" t="s">
        <v>1743</v>
      </c>
      <c r="I198" s="11">
        <v>117040.57</v>
      </c>
      <c r="J198" t="s">
        <v>220</v>
      </c>
      <c r="K198">
        <v>-5066337049</v>
      </c>
      <c r="L198" t="s">
        <v>30</v>
      </c>
      <c r="M198" t="b">
        <v>1</v>
      </c>
      <c r="N198" s="17">
        <f t="shared" si="3"/>
        <v>44139</v>
      </c>
      <c r="O198" t="str">
        <f>LEFT(Table1[[#This Row],[Department_Region]], FIND("-", Table1[[#This Row],[Department_Region]]) - 1)</f>
        <v>Sales</v>
      </c>
      <c r="P198" t="str">
        <f>RIGHT(Table1[[#This Row],[Department_Region]],LEN(Table1[[#This Row],[Department_Region]]) - FIND("-",Table1[[#This Row],[Department_Region]]))</f>
        <v>Florida</v>
      </c>
      <c r="Q1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98" s="15"/>
    </row>
    <row r="199" spans="1:18" x14ac:dyDescent="0.2">
      <c r="A199" s="1">
        <v>197</v>
      </c>
      <c r="B199" s="6" t="s">
        <v>446</v>
      </c>
      <c r="C199" t="s">
        <v>37</v>
      </c>
      <c r="D199" t="s">
        <v>20</v>
      </c>
      <c r="E199">
        <v>25</v>
      </c>
      <c r="F199" t="s">
        <v>222</v>
      </c>
      <c r="G199" t="s">
        <v>16</v>
      </c>
      <c r="H199" s="6" t="s">
        <v>447</v>
      </c>
      <c r="I199" s="11">
        <v>67342.06</v>
      </c>
      <c r="J199" t="s">
        <v>243</v>
      </c>
      <c r="K199">
        <v>-2497243991</v>
      </c>
      <c r="L199" t="s">
        <v>30</v>
      </c>
      <c r="M199" t="b">
        <v>1</v>
      </c>
      <c r="N199" s="17">
        <f t="shared" si="3"/>
        <v>43911</v>
      </c>
      <c r="O199" t="str">
        <f>LEFT(Table1[[#This Row],[Department_Region]], FIND("-", Table1[[#This Row],[Department_Region]]) - 1)</f>
        <v>Sales</v>
      </c>
      <c r="P199" t="str">
        <f>RIGHT(Table1[[#This Row],[Department_Region]],LEN(Table1[[#This Row],[Department_Region]]) - FIND("-",Table1[[#This Row],[Department_Region]]))</f>
        <v>Nevada</v>
      </c>
      <c r="Q1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99" s="15"/>
    </row>
    <row r="200" spans="1:18" x14ac:dyDescent="0.2">
      <c r="A200" s="1">
        <v>198</v>
      </c>
      <c r="B200" s="6" t="s">
        <v>448</v>
      </c>
      <c r="C200" t="s">
        <v>65</v>
      </c>
      <c r="D200" t="s">
        <v>26</v>
      </c>
      <c r="E200">
        <v>32</v>
      </c>
      <c r="F200" t="s">
        <v>99</v>
      </c>
      <c r="G200" t="s">
        <v>16</v>
      </c>
      <c r="H200" s="6" t="s">
        <v>449</v>
      </c>
      <c r="I200" s="11">
        <v>76099.64</v>
      </c>
      <c r="J200" t="s">
        <v>324</v>
      </c>
      <c r="K200">
        <v>-116691835</v>
      </c>
      <c r="L200" t="s">
        <v>23</v>
      </c>
      <c r="M200" t="b">
        <v>0</v>
      </c>
      <c r="N200" s="17">
        <f t="shared" si="3"/>
        <v>44576</v>
      </c>
      <c r="O200" t="str">
        <f>LEFT(Table1[[#This Row],[Department_Region]], FIND("-", Table1[[#This Row],[Department_Region]]) - 1)</f>
        <v>Sales</v>
      </c>
      <c r="P200" t="str">
        <f>RIGHT(Table1[[#This Row],[Department_Region]],LEN(Table1[[#This Row],[Department_Region]]) - FIND("-",Table1[[#This Row],[Department_Region]]))</f>
        <v>Illinois</v>
      </c>
      <c r="Q2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0" s="15"/>
    </row>
    <row r="201" spans="1:18" x14ac:dyDescent="0.2">
      <c r="A201" s="1">
        <v>199</v>
      </c>
      <c r="B201" s="6" t="s">
        <v>450</v>
      </c>
      <c r="C201" t="s">
        <v>69</v>
      </c>
      <c r="D201" t="s">
        <v>38</v>
      </c>
      <c r="E201">
        <v>35</v>
      </c>
      <c r="F201" t="s">
        <v>79</v>
      </c>
      <c r="G201" t="s">
        <v>16</v>
      </c>
      <c r="H201" s="6" t="s">
        <v>1744</v>
      </c>
      <c r="I201" s="11">
        <v>94162.06</v>
      </c>
      <c r="J201" t="s">
        <v>72</v>
      </c>
      <c r="K201">
        <v>-2644886945</v>
      </c>
      <c r="L201" t="s">
        <v>18</v>
      </c>
      <c r="M201" t="b">
        <v>1</v>
      </c>
      <c r="N201" s="17">
        <f t="shared" si="3"/>
        <v>45447</v>
      </c>
      <c r="O201" t="str">
        <f>LEFT(Table1[[#This Row],[Department_Region]], FIND("-", Table1[[#This Row],[Department_Region]]) - 1)</f>
        <v>DevOps</v>
      </c>
      <c r="P201" t="str">
        <f>RIGHT(Table1[[#This Row],[Department_Region]],LEN(Table1[[#This Row],[Department_Region]]) - FIND("-",Table1[[#This Row],[Department_Region]]))</f>
        <v>Illinois</v>
      </c>
      <c r="Q2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1" s="15"/>
    </row>
    <row r="202" spans="1:18" x14ac:dyDescent="0.2">
      <c r="A202" s="1">
        <v>200</v>
      </c>
      <c r="B202" s="6" t="s">
        <v>451</v>
      </c>
      <c r="C202" t="s">
        <v>37</v>
      </c>
      <c r="D202" t="s">
        <v>14</v>
      </c>
      <c r="E202">
        <v>25</v>
      </c>
      <c r="F202" t="s">
        <v>222</v>
      </c>
      <c r="G202" t="s">
        <v>33</v>
      </c>
      <c r="H202" s="6" t="s">
        <v>1745</v>
      </c>
      <c r="I202" s="11">
        <v>67639.7</v>
      </c>
      <c r="J202" t="s">
        <v>52</v>
      </c>
      <c r="K202">
        <v>-1195243639</v>
      </c>
      <c r="L202" t="s">
        <v>23</v>
      </c>
      <c r="M202" t="b">
        <v>1</v>
      </c>
      <c r="N202" s="17">
        <f t="shared" si="3"/>
        <v>44412</v>
      </c>
      <c r="O202" t="str">
        <f>LEFT(Table1[[#This Row],[Department_Region]], FIND("-", Table1[[#This Row],[Department_Region]]) - 1)</f>
        <v>Sales</v>
      </c>
      <c r="P202" t="str">
        <f>RIGHT(Table1[[#This Row],[Department_Region]],LEN(Table1[[#This Row],[Department_Region]]) - FIND("-",Table1[[#This Row],[Department_Region]]))</f>
        <v>Nevada</v>
      </c>
      <c r="Q2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2" s="15"/>
    </row>
    <row r="203" spans="1:18" x14ac:dyDescent="0.2">
      <c r="A203" s="1">
        <v>201</v>
      </c>
      <c r="B203" s="6" t="s">
        <v>452</v>
      </c>
      <c r="C203" t="s">
        <v>54</v>
      </c>
      <c r="D203" t="s">
        <v>43</v>
      </c>
      <c r="E203">
        <v>35</v>
      </c>
      <c r="F203" t="s">
        <v>96</v>
      </c>
      <c r="G203" t="s">
        <v>28</v>
      </c>
      <c r="H203" s="6" t="s">
        <v>453</v>
      </c>
      <c r="I203" s="11">
        <v>114172.25</v>
      </c>
      <c r="J203" t="s">
        <v>88</v>
      </c>
      <c r="K203">
        <v>-2701168645</v>
      </c>
      <c r="L203" t="s">
        <v>30</v>
      </c>
      <c r="M203" t="b">
        <v>1</v>
      </c>
      <c r="N203" s="17">
        <f t="shared" si="3"/>
        <v>44120</v>
      </c>
      <c r="O203" t="str">
        <f>LEFT(Table1[[#This Row],[Department_Region]], FIND("-", Table1[[#This Row],[Department_Region]]) - 1)</f>
        <v>Cloud Tech</v>
      </c>
      <c r="P203" t="str">
        <f>RIGHT(Table1[[#This Row],[Department_Region]],LEN(Table1[[#This Row],[Department_Region]]) - FIND("-",Table1[[#This Row],[Department_Region]]))</f>
        <v>Illinois</v>
      </c>
      <c r="Q2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3" s="15"/>
    </row>
    <row r="204" spans="1:18" x14ac:dyDescent="0.2">
      <c r="A204" s="1">
        <v>202</v>
      </c>
      <c r="B204" s="6" t="s">
        <v>454</v>
      </c>
      <c r="C204" t="s">
        <v>69</v>
      </c>
      <c r="D204" t="s">
        <v>14</v>
      </c>
      <c r="E204">
        <v>30</v>
      </c>
      <c r="F204" t="s">
        <v>222</v>
      </c>
      <c r="G204" t="s">
        <v>16</v>
      </c>
      <c r="H204" s="6" t="s">
        <v>455</v>
      </c>
      <c r="I204" s="11">
        <v>89124.54</v>
      </c>
      <c r="J204" t="s">
        <v>239</v>
      </c>
      <c r="K204">
        <v>-2252237280</v>
      </c>
      <c r="L204" t="s">
        <v>23</v>
      </c>
      <c r="M204" t="b">
        <v>1</v>
      </c>
      <c r="N204" s="17">
        <f t="shared" si="3"/>
        <v>44465</v>
      </c>
      <c r="O204" t="str">
        <f>LEFT(Table1[[#This Row],[Department_Region]], FIND("-", Table1[[#This Row],[Department_Region]]) - 1)</f>
        <v>Sales</v>
      </c>
      <c r="P204" t="str">
        <f>RIGHT(Table1[[#This Row],[Department_Region]],LEN(Table1[[#This Row],[Department_Region]]) - FIND("-",Table1[[#This Row],[Department_Region]]))</f>
        <v>Nevada</v>
      </c>
      <c r="Q2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4" s="15"/>
    </row>
    <row r="205" spans="1:18" x14ac:dyDescent="0.2">
      <c r="A205" s="1">
        <v>203</v>
      </c>
      <c r="B205" s="6" t="s">
        <v>456</v>
      </c>
      <c r="C205" t="s">
        <v>37</v>
      </c>
      <c r="D205" t="s">
        <v>124</v>
      </c>
      <c r="E205">
        <v>30</v>
      </c>
      <c r="F205" t="s">
        <v>333</v>
      </c>
      <c r="G205" t="s">
        <v>28</v>
      </c>
      <c r="H205" s="6" t="s">
        <v>1746</v>
      </c>
      <c r="I205" s="11">
        <v>113871.36</v>
      </c>
      <c r="J205" t="s">
        <v>139</v>
      </c>
      <c r="K205">
        <v>-7932302345</v>
      </c>
      <c r="L205" t="s">
        <v>18</v>
      </c>
      <c r="M205" t="b">
        <v>0</v>
      </c>
      <c r="N205" s="17">
        <f t="shared" si="3"/>
        <v>45234</v>
      </c>
      <c r="O205" t="str">
        <f>LEFT(Table1[[#This Row],[Department_Region]], FIND("-", Table1[[#This Row],[Department_Region]]) - 1)</f>
        <v>DevOps</v>
      </c>
      <c r="P205" t="str">
        <f>RIGHT(Table1[[#This Row],[Department_Region]],LEN(Table1[[#This Row],[Department_Region]]) - FIND("-",Table1[[#This Row],[Department_Region]]))</f>
        <v>Nevada</v>
      </c>
      <c r="Q2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5" s="15"/>
    </row>
    <row r="206" spans="1:18" x14ac:dyDescent="0.2">
      <c r="A206" s="1">
        <v>204</v>
      </c>
      <c r="B206" s="6" t="s">
        <v>457</v>
      </c>
      <c r="C206" t="s">
        <v>69</v>
      </c>
      <c r="D206" t="s">
        <v>20</v>
      </c>
      <c r="E206">
        <v>32</v>
      </c>
      <c r="F206" t="s">
        <v>141</v>
      </c>
      <c r="G206" t="s">
        <v>33</v>
      </c>
      <c r="H206" s="6" t="s">
        <v>357</v>
      </c>
      <c r="I206" s="11">
        <v>62618.400000000001</v>
      </c>
      <c r="J206" t="s">
        <v>204</v>
      </c>
      <c r="K206">
        <v>-7912141613</v>
      </c>
      <c r="L206" t="s">
        <v>23</v>
      </c>
      <c r="M206" t="b">
        <v>0</v>
      </c>
      <c r="N206" s="17">
        <f t="shared" si="3"/>
        <v>44463</v>
      </c>
      <c r="O206" t="str">
        <f>LEFT(Table1[[#This Row],[Department_Region]], FIND("-", Table1[[#This Row],[Department_Region]]) - 1)</f>
        <v>HR</v>
      </c>
      <c r="P206" t="str">
        <f>RIGHT(Table1[[#This Row],[Department_Region]],LEN(Table1[[#This Row],[Department_Region]]) - FIND("-",Table1[[#This Row],[Department_Region]]))</f>
        <v>Texas</v>
      </c>
      <c r="Q2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6" s="15"/>
    </row>
    <row r="207" spans="1:18" x14ac:dyDescent="0.2">
      <c r="A207" s="1">
        <v>205</v>
      </c>
      <c r="B207" s="6" t="s">
        <v>458</v>
      </c>
      <c r="C207" t="s">
        <v>65</v>
      </c>
      <c r="D207" t="s">
        <v>26</v>
      </c>
      <c r="E207">
        <v>30</v>
      </c>
      <c r="F207" t="s">
        <v>199</v>
      </c>
      <c r="G207" t="s">
        <v>16</v>
      </c>
      <c r="H207" s="6" t="s">
        <v>1747</v>
      </c>
      <c r="I207" s="11">
        <v>70705.45</v>
      </c>
      <c r="J207" t="s">
        <v>324</v>
      </c>
      <c r="K207">
        <v>-1509377099</v>
      </c>
      <c r="L207" t="s">
        <v>30</v>
      </c>
      <c r="M207" t="b">
        <v>0</v>
      </c>
      <c r="N207" s="17">
        <f t="shared" si="3"/>
        <v>43989</v>
      </c>
      <c r="O207" t="str">
        <f>LEFT(Table1[[#This Row],[Department_Region]], FIND("-", Table1[[#This Row],[Department_Region]]) - 1)</f>
        <v>Admin</v>
      </c>
      <c r="P207" t="str">
        <f>RIGHT(Table1[[#This Row],[Department_Region]],LEN(Table1[[#This Row],[Department_Region]]) - FIND("-",Table1[[#This Row],[Department_Region]]))</f>
        <v>New York</v>
      </c>
      <c r="Q2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7" s="15"/>
    </row>
    <row r="208" spans="1:18" x14ac:dyDescent="0.2">
      <c r="A208" s="1">
        <v>206</v>
      </c>
      <c r="B208" s="6" t="s">
        <v>459</v>
      </c>
      <c r="C208" t="s">
        <v>25</v>
      </c>
      <c r="D208" t="s">
        <v>43</v>
      </c>
      <c r="E208">
        <v>35</v>
      </c>
      <c r="F208" t="s">
        <v>110</v>
      </c>
      <c r="G208" t="s">
        <v>28</v>
      </c>
      <c r="H208" s="6" t="s">
        <v>1748</v>
      </c>
      <c r="I208" s="11">
        <v>60797.69</v>
      </c>
      <c r="J208" t="s">
        <v>45</v>
      </c>
      <c r="K208">
        <v>-4090138068</v>
      </c>
      <c r="L208" t="s">
        <v>18</v>
      </c>
      <c r="M208" t="b">
        <v>1</v>
      </c>
      <c r="N208" s="17">
        <f t="shared" si="3"/>
        <v>44602</v>
      </c>
      <c r="O208" t="str">
        <f>LEFT(Table1[[#This Row],[Department_Region]], FIND("-", Table1[[#This Row],[Department_Region]]) - 1)</f>
        <v>Sales</v>
      </c>
      <c r="P208" t="str">
        <f>RIGHT(Table1[[#This Row],[Department_Region]],LEN(Table1[[#This Row],[Department_Region]]) - FIND("-",Table1[[#This Row],[Department_Region]]))</f>
        <v>New York</v>
      </c>
      <c r="Q2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8" s="15"/>
    </row>
    <row r="209" spans="1:18" x14ac:dyDescent="0.2">
      <c r="A209" s="1">
        <v>207</v>
      </c>
      <c r="B209" s="6" t="s">
        <v>460</v>
      </c>
      <c r="C209" t="s">
        <v>54</v>
      </c>
      <c r="D209" t="s">
        <v>20</v>
      </c>
      <c r="E209">
        <v>40</v>
      </c>
      <c r="F209" t="s">
        <v>39</v>
      </c>
      <c r="G209" t="s">
        <v>33</v>
      </c>
      <c r="H209" s="6" t="s">
        <v>461</v>
      </c>
      <c r="I209" s="11">
        <v>100371</v>
      </c>
      <c r="J209" t="s">
        <v>127</v>
      </c>
      <c r="K209">
        <v>-8477596554</v>
      </c>
      <c r="L209" t="s">
        <v>41</v>
      </c>
      <c r="M209" t="b">
        <v>1</v>
      </c>
      <c r="N209" s="17">
        <f t="shared" si="3"/>
        <v>45216</v>
      </c>
      <c r="O209" t="str">
        <f>LEFT(Table1[[#This Row],[Department_Region]], FIND("-", Table1[[#This Row],[Department_Region]]) - 1)</f>
        <v>Cloud Tech</v>
      </c>
      <c r="P209" t="str">
        <f>RIGHT(Table1[[#This Row],[Department_Region]],LEN(Table1[[#This Row],[Department_Region]]) - FIND("-",Table1[[#This Row],[Department_Region]]))</f>
        <v>Florida</v>
      </c>
      <c r="Q2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09" s="15"/>
    </row>
    <row r="210" spans="1:18" x14ac:dyDescent="0.2">
      <c r="A210" s="1">
        <v>208</v>
      </c>
      <c r="B210" s="6" t="s">
        <v>462</v>
      </c>
      <c r="C210" t="s">
        <v>32</v>
      </c>
      <c r="D210" t="s">
        <v>93</v>
      </c>
      <c r="E210">
        <v>40</v>
      </c>
      <c r="F210" t="s">
        <v>90</v>
      </c>
      <c r="G210" t="s">
        <v>16</v>
      </c>
      <c r="H210" s="6" t="s">
        <v>463</v>
      </c>
      <c r="I210" s="11">
        <v>117591.76</v>
      </c>
      <c r="J210" t="s">
        <v>267</v>
      </c>
      <c r="K210">
        <v>-5356690550</v>
      </c>
      <c r="L210" t="s">
        <v>30</v>
      </c>
      <c r="M210" t="b">
        <v>0</v>
      </c>
      <c r="N210" s="17">
        <f t="shared" si="3"/>
        <v>44464</v>
      </c>
      <c r="O210" t="str">
        <f>LEFT(Table1[[#This Row],[Department_Region]], FIND("-", Table1[[#This Row],[Department_Region]]) - 1)</f>
        <v>Admin</v>
      </c>
      <c r="P210" t="str">
        <f>RIGHT(Table1[[#This Row],[Department_Region]],LEN(Table1[[#This Row],[Department_Region]]) - FIND("-",Table1[[#This Row],[Department_Region]]))</f>
        <v>Illinois</v>
      </c>
      <c r="Q2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10" s="15"/>
    </row>
    <row r="211" spans="1:18" x14ac:dyDescent="0.2">
      <c r="A211" s="1">
        <v>209</v>
      </c>
      <c r="B211" s="6" t="s">
        <v>464</v>
      </c>
      <c r="C211" t="s">
        <v>59</v>
      </c>
      <c r="D211" t="s">
        <v>26</v>
      </c>
      <c r="E211">
        <v>35</v>
      </c>
      <c r="F211" t="s">
        <v>79</v>
      </c>
      <c r="G211" t="s">
        <v>33</v>
      </c>
      <c r="H211" s="6" t="s">
        <v>1749</v>
      </c>
      <c r="I211" s="11">
        <v>103860.7</v>
      </c>
      <c r="J211" t="s">
        <v>246</v>
      </c>
      <c r="K211">
        <v>-762091842</v>
      </c>
      <c r="L211" t="s">
        <v>18</v>
      </c>
      <c r="M211" t="b">
        <v>1</v>
      </c>
      <c r="N211" s="17">
        <f t="shared" si="3"/>
        <v>44776</v>
      </c>
      <c r="O211" t="str">
        <f>LEFT(Table1[[#This Row],[Department_Region]], FIND("-", Table1[[#This Row],[Department_Region]]) - 1)</f>
        <v>DevOps</v>
      </c>
      <c r="P211" t="str">
        <f>RIGHT(Table1[[#This Row],[Department_Region]],LEN(Table1[[#This Row],[Department_Region]]) - FIND("-",Table1[[#This Row],[Department_Region]]))</f>
        <v>Illinois</v>
      </c>
      <c r="Q2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11" s="15"/>
    </row>
    <row r="212" spans="1:18" x14ac:dyDescent="0.2">
      <c r="A212" s="1">
        <v>210</v>
      </c>
      <c r="B212" s="6" t="s">
        <v>465</v>
      </c>
      <c r="C212" t="s">
        <v>69</v>
      </c>
      <c r="D212" t="s">
        <v>14</v>
      </c>
      <c r="E212">
        <v>30</v>
      </c>
      <c r="F212" t="s">
        <v>90</v>
      </c>
      <c r="G212" t="s">
        <v>16</v>
      </c>
      <c r="H212" s="6" t="s">
        <v>342</v>
      </c>
      <c r="I212" s="11">
        <v>67500.22</v>
      </c>
      <c r="J212" t="s">
        <v>239</v>
      </c>
      <c r="K212">
        <v>-5797863049</v>
      </c>
      <c r="L212" t="s">
        <v>18</v>
      </c>
      <c r="M212" t="b">
        <v>1</v>
      </c>
      <c r="N212" s="17">
        <f t="shared" si="3"/>
        <v>45618</v>
      </c>
      <c r="O212" t="str">
        <f>LEFT(Table1[[#This Row],[Department_Region]], FIND("-", Table1[[#This Row],[Department_Region]]) - 1)</f>
        <v>Admin</v>
      </c>
      <c r="P212" t="str">
        <f>RIGHT(Table1[[#This Row],[Department_Region]],LEN(Table1[[#This Row],[Department_Region]]) - FIND("-",Table1[[#This Row],[Department_Region]]))</f>
        <v>Illinois</v>
      </c>
      <c r="Q2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12" s="15"/>
    </row>
    <row r="213" spans="1:18" x14ac:dyDescent="0.2">
      <c r="A213" s="1">
        <v>211</v>
      </c>
      <c r="B213" s="6" t="s">
        <v>466</v>
      </c>
      <c r="C213" t="s">
        <v>37</v>
      </c>
      <c r="D213" t="s">
        <v>14</v>
      </c>
      <c r="E213">
        <v>32</v>
      </c>
      <c r="F213" t="s">
        <v>86</v>
      </c>
      <c r="G213" t="s">
        <v>28</v>
      </c>
      <c r="H213" s="6" t="s">
        <v>1750</v>
      </c>
      <c r="I213" s="11">
        <v>58727.44</v>
      </c>
      <c r="J213" t="s">
        <v>52</v>
      </c>
      <c r="K213">
        <v>-5057397690</v>
      </c>
      <c r="L213" t="s">
        <v>41</v>
      </c>
      <c r="M213" t="b">
        <v>1</v>
      </c>
      <c r="N213" s="17">
        <f t="shared" si="3"/>
        <v>45574</v>
      </c>
      <c r="O213" t="str">
        <f>LEFT(Table1[[#This Row],[Department_Region]], FIND("-", Table1[[#This Row],[Department_Region]]) - 1)</f>
        <v>Cloud Tech</v>
      </c>
      <c r="P213" t="str">
        <f>RIGHT(Table1[[#This Row],[Department_Region]],LEN(Table1[[#This Row],[Department_Region]]) - FIND("-",Table1[[#This Row],[Department_Region]]))</f>
        <v>Nevada</v>
      </c>
      <c r="Q2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13" s="15"/>
    </row>
    <row r="214" spans="1:18" x14ac:dyDescent="0.2">
      <c r="A214" s="1">
        <v>212</v>
      </c>
      <c r="B214" s="6" t="s">
        <v>467</v>
      </c>
      <c r="C214" t="s">
        <v>54</v>
      </c>
      <c r="D214" t="s">
        <v>26</v>
      </c>
      <c r="E214">
        <v>35</v>
      </c>
      <c r="F214" t="s">
        <v>269</v>
      </c>
      <c r="G214" t="s">
        <v>16</v>
      </c>
      <c r="H214" s="6" t="s">
        <v>211</v>
      </c>
      <c r="I214" s="11">
        <v>80623.08</v>
      </c>
      <c r="J214" t="s">
        <v>122</v>
      </c>
      <c r="K214">
        <v>-5671649327</v>
      </c>
      <c r="L214" t="s">
        <v>23</v>
      </c>
      <c r="M214" t="b">
        <v>1</v>
      </c>
      <c r="N214" s="17">
        <f t="shared" si="3"/>
        <v>45532</v>
      </c>
      <c r="O214" t="str">
        <f>LEFT(Table1[[#This Row],[Department_Region]], FIND("-", Table1[[#This Row],[Department_Region]]) - 1)</f>
        <v>Finance</v>
      </c>
      <c r="P214" t="str">
        <f>RIGHT(Table1[[#This Row],[Department_Region]],LEN(Table1[[#This Row],[Department_Region]]) - FIND("-",Table1[[#This Row],[Department_Region]]))</f>
        <v>Illinois</v>
      </c>
      <c r="Q2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14" s="15"/>
    </row>
    <row r="215" spans="1:18" x14ac:dyDescent="0.2">
      <c r="A215" s="1">
        <v>213</v>
      </c>
      <c r="B215" s="6" t="s">
        <v>468</v>
      </c>
      <c r="C215" t="s">
        <v>59</v>
      </c>
      <c r="D215" t="s">
        <v>14</v>
      </c>
      <c r="E215">
        <v>40</v>
      </c>
      <c r="F215" t="s">
        <v>141</v>
      </c>
      <c r="G215" t="s">
        <v>33</v>
      </c>
      <c r="H215" s="6" t="s">
        <v>469</v>
      </c>
      <c r="I215" s="11">
        <v>77751.78</v>
      </c>
      <c r="J215" t="s">
        <v>63</v>
      </c>
      <c r="K215">
        <v>-9802714871</v>
      </c>
      <c r="L215" t="s">
        <v>23</v>
      </c>
      <c r="M215" t="b">
        <v>0</v>
      </c>
      <c r="N215" s="17">
        <f t="shared" si="3"/>
        <v>43940</v>
      </c>
      <c r="O215" t="str">
        <f>LEFT(Table1[[#This Row],[Department_Region]], FIND("-", Table1[[#This Row],[Department_Region]]) - 1)</f>
        <v>HR</v>
      </c>
      <c r="P215" t="str">
        <f>RIGHT(Table1[[#This Row],[Department_Region]],LEN(Table1[[#This Row],[Department_Region]]) - FIND("-",Table1[[#This Row],[Department_Region]]))</f>
        <v>Texas</v>
      </c>
      <c r="Q2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15" s="15"/>
    </row>
    <row r="216" spans="1:18" x14ac:dyDescent="0.2">
      <c r="A216" s="1">
        <v>214</v>
      </c>
      <c r="B216" s="6" t="s">
        <v>470</v>
      </c>
      <c r="C216" t="s">
        <v>69</v>
      </c>
      <c r="D216" t="s">
        <v>38</v>
      </c>
      <c r="E216">
        <v>25</v>
      </c>
      <c r="F216" t="s">
        <v>66</v>
      </c>
      <c r="G216" t="s">
        <v>16</v>
      </c>
      <c r="H216" s="6" t="s">
        <v>471</v>
      </c>
      <c r="I216" s="11">
        <v>115157.81</v>
      </c>
      <c r="J216" t="s">
        <v>72</v>
      </c>
      <c r="K216">
        <v>-7178333210</v>
      </c>
      <c r="L216" t="s">
        <v>30</v>
      </c>
      <c r="M216" t="b">
        <v>0</v>
      </c>
      <c r="N216" s="17">
        <f t="shared" si="3"/>
        <v>44483</v>
      </c>
      <c r="O216" t="str">
        <f>LEFT(Table1[[#This Row],[Department_Region]], FIND("-", Table1[[#This Row],[Department_Region]]) - 1)</f>
        <v>HR</v>
      </c>
      <c r="P216" t="str">
        <f>RIGHT(Table1[[#This Row],[Department_Region]],LEN(Table1[[#This Row],[Department_Region]]) - FIND("-",Table1[[#This Row],[Department_Region]]))</f>
        <v>New York</v>
      </c>
      <c r="Q2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16" s="15"/>
    </row>
    <row r="217" spans="1:18" x14ac:dyDescent="0.2">
      <c r="A217" s="1">
        <v>215</v>
      </c>
      <c r="B217" s="6" t="s">
        <v>472</v>
      </c>
      <c r="C217" t="s">
        <v>37</v>
      </c>
      <c r="D217" t="s">
        <v>26</v>
      </c>
      <c r="E217">
        <v>30</v>
      </c>
      <c r="F217" t="s">
        <v>104</v>
      </c>
      <c r="G217" t="s">
        <v>33</v>
      </c>
      <c r="H217" s="6" t="s">
        <v>473</v>
      </c>
      <c r="I217" s="11">
        <v>83071.850000000006</v>
      </c>
      <c r="J217" t="s">
        <v>47</v>
      </c>
      <c r="K217">
        <v>-6025643470</v>
      </c>
      <c r="L217" t="s">
        <v>41</v>
      </c>
      <c r="M217" t="b">
        <v>0</v>
      </c>
      <c r="N217" s="17">
        <f t="shared" si="3"/>
        <v>45530</v>
      </c>
      <c r="O217" t="str">
        <f>LEFT(Table1[[#This Row],[Department_Region]], FIND("-", Table1[[#This Row],[Department_Region]]) - 1)</f>
        <v>Admin</v>
      </c>
      <c r="P217" t="str">
        <f>RIGHT(Table1[[#This Row],[Department_Region]],LEN(Table1[[#This Row],[Department_Region]]) - FIND("-",Table1[[#This Row],[Department_Region]]))</f>
        <v>Texas</v>
      </c>
      <c r="Q2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17" s="15"/>
    </row>
    <row r="218" spans="1:18" x14ac:dyDescent="0.2">
      <c r="A218" s="1">
        <v>216</v>
      </c>
      <c r="B218" s="6" t="s">
        <v>474</v>
      </c>
      <c r="C218" t="s">
        <v>65</v>
      </c>
      <c r="D218" t="s">
        <v>20</v>
      </c>
      <c r="E218">
        <v>40</v>
      </c>
      <c r="F218" t="s">
        <v>44</v>
      </c>
      <c r="G218" t="s">
        <v>16</v>
      </c>
      <c r="H218" s="6" t="s">
        <v>1751</v>
      </c>
      <c r="I218" s="11">
        <v>67914.67</v>
      </c>
      <c r="J218" t="s">
        <v>410</v>
      </c>
      <c r="K218">
        <v>-2871539914</v>
      </c>
      <c r="L218" t="s">
        <v>23</v>
      </c>
      <c r="M218" t="b">
        <v>1</v>
      </c>
      <c r="N218" s="17">
        <f t="shared" si="3"/>
        <v>43869</v>
      </c>
      <c r="O218" t="str">
        <f>LEFT(Table1[[#This Row],[Department_Region]], FIND("-", Table1[[#This Row],[Department_Region]]) - 1)</f>
        <v>Sales</v>
      </c>
      <c r="P218" t="str">
        <f>RIGHT(Table1[[#This Row],[Department_Region]],LEN(Table1[[#This Row],[Department_Region]]) - FIND("-",Table1[[#This Row],[Department_Region]]))</f>
        <v>Texas</v>
      </c>
      <c r="Q2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18" s="15"/>
    </row>
    <row r="219" spans="1:18" x14ac:dyDescent="0.2">
      <c r="A219" s="1">
        <v>217</v>
      </c>
      <c r="B219" s="6" t="s">
        <v>475</v>
      </c>
      <c r="C219" t="s">
        <v>69</v>
      </c>
      <c r="D219" t="s">
        <v>26</v>
      </c>
      <c r="E219">
        <v>25</v>
      </c>
      <c r="F219" t="s">
        <v>66</v>
      </c>
      <c r="G219" t="s">
        <v>33</v>
      </c>
      <c r="H219" s="6" t="s">
        <v>1752</v>
      </c>
      <c r="I219" s="11">
        <v>53342.46</v>
      </c>
      <c r="J219" t="s">
        <v>77</v>
      </c>
      <c r="K219">
        <v>-6686334140</v>
      </c>
      <c r="L219" t="s">
        <v>41</v>
      </c>
      <c r="M219" t="b">
        <v>0</v>
      </c>
      <c r="N219" s="17">
        <f t="shared" si="3"/>
        <v>44080</v>
      </c>
      <c r="O219" t="str">
        <f>LEFT(Table1[[#This Row],[Department_Region]], FIND("-", Table1[[#This Row],[Department_Region]]) - 1)</f>
        <v>HR</v>
      </c>
      <c r="P219" t="str">
        <f>RIGHT(Table1[[#This Row],[Department_Region]],LEN(Table1[[#This Row],[Department_Region]]) - FIND("-",Table1[[#This Row],[Department_Region]]))</f>
        <v>New York</v>
      </c>
      <c r="Q2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19" s="15"/>
    </row>
    <row r="220" spans="1:18" x14ac:dyDescent="0.2">
      <c r="A220" s="1">
        <v>218</v>
      </c>
      <c r="B220" s="6" t="s">
        <v>476</v>
      </c>
      <c r="C220" t="s">
        <v>65</v>
      </c>
      <c r="D220" t="s">
        <v>43</v>
      </c>
      <c r="E220">
        <v>25</v>
      </c>
      <c r="F220" t="s">
        <v>39</v>
      </c>
      <c r="G220" t="s">
        <v>28</v>
      </c>
      <c r="H220" s="6" t="s">
        <v>1753</v>
      </c>
      <c r="I220" s="11">
        <v>51150.47</v>
      </c>
      <c r="J220" t="s">
        <v>261</v>
      </c>
      <c r="K220">
        <v>-1159319524</v>
      </c>
      <c r="L220" t="s">
        <v>23</v>
      </c>
      <c r="M220" t="b">
        <v>0</v>
      </c>
      <c r="N220" s="17">
        <f t="shared" si="3"/>
        <v>44928</v>
      </c>
      <c r="O220" t="str">
        <f>LEFT(Table1[[#This Row],[Department_Region]], FIND("-", Table1[[#This Row],[Department_Region]]) - 1)</f>
        <v>Cloud Tech</v>
      </c>
      <c r="P220" t="str">
        <f>RIGHT(Table1[[#This Row],[Department_Region]],LEN(Table1[[#This Row],[Department_Region]]) - FIND("-",Table1[[#This Row],[Department_Region]]))</f>
        <v>Florida</v>
      </c>
      <c r="Q2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20" s="15"/>
    </row>
    <row r="221" spans="1:18" x14ac:dyDescent="0.2">
      <c r="A221" s="1">
        <v>219</v>
      </c>
      <c r="B221" s="6" t="s">
        <v>477</v>
      </c>
      <c r="C221" t="s">
        <v>59</v>
      </c>
      <c r="D221" t="s">
        <v>14</v>
      </c>
      <c r="E221">
        <v>30</v>
      </c>
      <c r="F221" t="s">
        <v>215</v>
      </c>
      <c r="G221" t="s">
        <v>16</v>
      </c>
      <c r="H221" s="6" t="s">
        <v>478</v>
      </c>
      <c r="I221" s="11">
        <v>74697.119999999995</v>
      </c>
      <c r="J221" t="s">
        <v>63</v>
      </c>
      <c r="K221">
        <v>-6904098365</v>
      </c>
      <c r="L221" t="s">
        <v>18</v>
      </c>
      <c r="M221" t="b">
        <v>1</v>
      </c>
      <c r="N221" s="17">
        <f t="shared" si="3"/>
        <v>45090</v>
      </c>
      <c r="O221" t="str">
        <f>LEFT(Table1[[#This Row],[Department_Region]], FIND("-", Table1[[#This Row],[Department_Region]]) - 1)</f>
        <v>HR</v>
      </c>
      <c r="P221" t="str">
        <f>RIGHT(Table1[[#This Row],[Department_Region]],LEN(Table1[[#This Row],[Department_Region]]) - FIND("-",Table1[[#This Row],[Department_Region]]))</f>
        <v>Florida</v>
      </c>
      <c r="Q2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1" s="15"/>
    </row>
    <row r="222" spans="1:18" x14ac:dyDescent="0.2">
      <c r="A222" s="1">
        <v>220</v>
      </c>
      <c r="B222" s="6" t="s">
        <v>479</v>
      </c>
      <c r="C222" t="s">
        <v>54</v>
      </c>
      <c r="D222" t="s">
        <v>38</v>
      </c>
      <c r="E222">
        <v>25</v>
      </c>
      <c r="F222" t="s">
        <v>180</v>
      </c>
      <c r="G222" t="s">
        <v>16</v>
      </c>
      <c r="H222" s="6" t="s">
        <v>480</v>
      </c>
      <c r="I222" s="11">
        <v>88085.74</v>
      </c>
      <c r="J222" t="s">
        <v>91</v>
      </c>
      <c r="K222">
        <v>-5528993159</v>
      </c>
      <c r="L222" t="s">
        <v>23</v>
      </c>
      <c r="M222" t="b">
        <v>1</v>
      </c>
      <c r="N222" s="17">
        <f t="shared" si="3"/>
        <v>44908</v>
      </c>
      <c r="O222" t="str">
        <f>LEFT(Table1[[#This Row],[Department_Region]], FIND("-", Table1[[#This Row],[Department_Region]]) - 1)</f>
        <v>Sales</v>
      </c>
      <c r="P222" t="str">
        <f>RIGHT(Table1[[#This Row],[Department_Region]],LEN(Table1[[#This Row],[Department_Region]]) - FIND("-",Table1[[#This Row],[Department_Region]]))</f>
        <v>California</v>
      </c>
      <c r="Q2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2" s="15"/>
    </row>
    <row r="223" spans="1:18" x14ac:dyDescent="0.2">
      <c r="A223" s="1">
        <v>221</v>
      </c>
      <c r="B223" s="6" t="s">
        <v>481</v>
      </c>
      <c r="C223" t="s">
        <v>25</v>
      </c>
      <c r="D223" t="s">
        <v>38</v>
      </c>
      <c r="E223">
        <v>40</v>
      </c>
      <c r="F223" t="s">
        <v>21</v>
      </c>
      <c r="G223" t="s">
        <v>28</v>
      </c>
      <c r="H223" s="6" t="s">
        <v>1754</v>
      </c>
      <c r="I223" s="11">
        <v>118672.76</v>
      </c>
      <c r="J223" t="s">
        <v>368</v>
      </c>
      <c r="K223">
        <v>-8752437728</v>
      </c>
      <c r="L223" t="s">
        <v>41</v>
      </c>
      <c r="M223" t="b">
        <v>0</v>
      </c>
      <c r="N223" s="17">
        <f t="shared" si="3"/>
        <v>44623</v>
      </c>
      <c r="O223" t="str">
        <f>LEFT(Table1[[#This Row],[Department_Region]], FIND("-", Table1[[#This Row],[Department_Region]]) - 1)</f>
        <v>Finance</v>
      </c>
      <c r="P223" t="str">
        <f>RIGHT(Table1[[#This Row],[Department_Region]],LEN(Table1[[#This Row],[Department_Region]]) - FIND("-",Table1[[#This Row],[Department_Region]]))</f>
        <v>Texas</v>
      </c>
      <c r="Q2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23" s="15"/>
    </row>
    <row r="224" spans="1:18" x14ac:dyDescent="0.2">
      <c r="A224" s="1">
        <v>222</v>
      </c>
      <c r="B224" s="6" t="s">
        <v>482</v>
      </c>
      <c r="C224" t="s">
        <v>25</v>
      </c>
      <c r="D224" t="s">
        <v>93</v>
      </c>
      <c r="E224">
        <v>35</v>
      </c>
      <c r="F224" t="s">
        <v>272</v>
      </c>
      <c r="G224" t="s">
        <v>16</v>
      </c>
      <c r="H224" s="6" t="s">
        <v>1755</v>
      </c>
      <c r="I224" s="11">
        <v>95997.31</v>
      </c>
      <c r="J224" t="s">
        <v>168</v>
      </c>
      <c r="K224">
        <v>-4209548148</v>
      </c>
      <c r="L224" t="s">
        <v>18</v>
      </c>
      <c r="M224" t="b">
        <v>0</v>
      </c>
      <c r="N224" s="17">
        <f t="shared" si="3"/>
        <v>45332</v>
      </c>
      <c r="O224" t="str">
        <f>LEFT(Table1[[#This Row],[Department_Region]], FIND("-", Table1[[#This Row],[Department_Region]]) - 1)</f>
        <v>Cloud Tech</v>
      </c>
      <c r="P224" t="str">
        <f>RIGHT(Table1[[#This Row],[Department_Region]],LEN(Table1[[#This Row],[Department_Region]]) - FIND("-",Table1[[#This Row],[Department_Region]]))</f>
        <v>California</v>
      </c>
      <c r="Q2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4" s="15"/>
    </row>
    <row r="225" spans="1:18" x14ac:dyDescent="0.2">
      <c r="A225" s="1">
        <v>223</v>
      </c>
      <c r="B225" s="6" t="s">
        <v>483</v>
      </c>
      <c r="C225" t="s">
        <v>37</v>
      </c>
      <c r="D225" t="s">
        <v>20</v>
      </c>
      <c r="E225">
        <v>30</v>
      </c>
      <c r="F225" t="s">
        <v>272</v>
      </c>
      <c r="G225" t="s">
        <v>28</v>
      </c>
      <c r="H225" s="6" t="s">
        <v>484</v>
      </c>
      <c r="I225" s="11">
        <v>106945.62</v>
      </c>
      <c r="J225" t="s">
        <v>243</v>
      </c>
      <c r="K225">
        <v>-7374605232</v>
      </c>
      <c r="L225" t="s">
        <v>18</v>
      </c>
      <c r="M225" t="b">
        <v>0</v>
      </c>
      <c r="N225" s="17">
        <f t="shared" si="3"/>
        <v>44524</v>
      </c>
      <c r="O225" t="str">
        <f>LEFT(Table1[[#This Row],[Department_Region]], FIND("-", Table1[[#This Row],[Department_Region]]) - 1)</f>
        <v>Cloud Tech</v>
      </c>
      <c r="P225" t="str">
        <f>RIGHT(Table1[[#This Row],[Department_Region]],LEN(Table1[[#This Row],[Department_Region]]) - FIND("-",Table1[[#This Row],[Department_Region]]))</f>
        <v>California</v>
      </c>
      <c r="Q2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5" s="15"/>
    </row>
    <row r="226" spans="1:18" x14ac:dyDescent="0.2">
      <c r="A226" s="1">
        <v>224</v>
      </c>
      <c r="B226" s="6" t="s">
        <v>485</v>
      </c>
      <c r="C226" t="s">
        <v>65</v>
      </c>
      <c r="D226" t="s">
        <v>55</v>
      </c>
      <c r="E226">
        <v>40</v>
      </c>
      <c r="F226" t="s">
        <v>56</v>
      </c>
      <c r="G226" t="s">
        <v>16</v>
      </c>
      <c r="H226" s="6" t="s">
        <v>1756</v>
      </c>
      <c r="I226" s="11">
        <v>100123.15</v>
      </c>
      <c r="J226" t="s">
        <v>114</v>
      </c>
      <c r="K226">
        <v>-276420864</v>
      </c>
      <c r="L226" t="s">
        <v>18</v>
      </c>
      <c r="M226" t="b">
        <v>0</v>
      </c>
      <c r="N226" s="17">
        <f t="shared" si="3"/>
        <v>43960</v>
      </c>
      <c r="O226" t="str">
        <f>LEFT(Table1[[#This Row],[Department_Region]], FIND("-", Table1[[#This Row],[Department_Region]]) - 1)</f>
        <v>DevOps</v>
      </c>
      <c r="P226" t="str">
        <f>RIGHT(Table1[[#This Row],[Department_Region]],LEN(Table1[[#This Row],[Department_Region]]) - FIND("-",Table1[[#This Row],[Department_Region]]))</f>
        <v>New York</v>
      </c>
      <c r="Q2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6" s="15"/>
    </row>
    <row r="227" spans="1:18" x14ac:dyDescent="0.2">
      <c r="A227" s="1">
        <v>225</v>
      </c>
      <c r="B227" s="6" t="s">
        <v>486</v>
      </c>
      <c r="C227" t="s">
        <v>25</v>
      </c>
      <c r="D227" t="s">
        <v>55</v>
      </c>
      <c r="E227">
        <v>35</v>
      </c>
      <c r="F227" t="s">
        <v>104</v>
      </c>
      <c r="G227" t="s">
        <v>16</v>
      </c>
      <c r="H227" s="6" t="s">
        <v>487</v>
      </c>
      <c r="I227" s="11">
        <v>52933.42</v>
      </c>
      <c r="J227" t="s">
        <v>152</v>
      </c>
      <c r="K227">
        <v>-6756618442</v>
      </c>
      <c r="L227" t="s">
        <v>41</v>
      </c>
      <c r="M227" t="b">
        <v>1</v>
      </c>
      <c r="N227" s="17">
        <f t="shared" si="3"/>
        <v>45645</v>
      </c>
      <c r="O227" t="str">
        <f>LEFT(Table1[[#This Row],[Department_Region]], FIND("-", Table1[[#This Row],[Department_Region]]) - 1)</f>
        <v>Admin</v>
      </c>
      <c r="P227" t="str">
        <f>RIGHT(Table1[[#This Row],[Department_Region]],LEN(Table1[[#This Row],[Department_Region]]) - FIND("-",Table1[[#This Row],[Department_Region]]))</f>
        <v>Texas</v>
      </c>
      <c r="Q2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7" s="15"/>
    </row>
    <row r="228" spans="1:18" x14ac:dyDescent="0.2">
      <c r="A228" s="1">
        <v>226</v>
      </c>
      <c r="B228" s="6" t="s">
        <v>488</v>
      </c>
      <c r="C228" t="s">
        <v>69</v>
      </c>
      <c r="D228" t="s">
        <v>26</v>
      </c>
      <c r="E228">
        <v>32</v>
      </c>
      <c r="F228" t="s">
        <v>70</v>
      </c>
      <c r="G228" t="s">
        <v>16</v>
      </c>
      <c r="H228" s="6" t="s">
        <v>489</v>
      </c>
      <c r="I228" s="11">
        <v>95283.03</v>
      </c>
      <c r="J228" t="s">
        <v>77</v>
      </c>
      <c r="K228">
        <v>-8612590471</v>
      </c>
      <c r="L228" t="s">
        <v>30</v>
      </c>
      <c r="M228" t="b">
        <v>0</v>
      </c>
      <c r="N228" s="17">
        <f t="shared" si="3"/>
        <v>45373</v>
      </c>
      <c r="O228" t="str">
        <f>LEFT(Table1[[#This Row],[Department_Region]], FIND("-", Table1[[#This Row],[Department_Region]]) - 1)</f>
        <v>Finance</v>
      </c>
      <c r="P228" t="str">
        <f>RIGHT(Table1[[#This Row],[Department_Region]],LEN(Table1[[#This Row],[Department_Region]]) - FIND("-",Table1[[#This Row],[Department_Region]]))</f>
        <v>California</v>
      </c>
      <c r="Q2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28" s="15"/>
    </row>
    <row r="229" spans="1:18" x14ac:dyDescent="0.2">
      <c r="A229" s="1">
        <v>227</v>
      </c>
      <c r="B229" s="6" t="s">
        <v>490</v>
      </c>
      <c r="C229" t="s">
        <v>25</v>
      </c>
      <c r="D229" t="s">
        <v>93</v>
      </c>
      <c r="E229">
        <v>35</v>
      </c>
      <c r="F229" t="s">
        <v>141</v>
      </c>
      <c r="G229" t="s">
        <v>33</v>
      </c>
      <c r="H229" s="6" t="s">
        <v>491</v>
      </c>
      <c r="I229" s="11">
        <v>112264.06</v>
      </c>
      <c r="J229" t="s">
        <v>168</v>
      </c>
      <c r="K229">
        <v>-9277423329</v>
      </c>
      <c r="L229" t="s">
        <v>30</v>
      </c>
      <c r="M229" t="b">
        <v>0</v>
      </c>
      <c r="N229" s="17">
        <f t="shared" si="3"/>
        <v>44725</v>
      </c>
      <c r="O229" t="str">
        <f>LEFT(Table1[[#This Row],[Department_Region]], FIND("-", Table1[[#This Row],[Department_Region]]) - 1)</f>
        <v>HR</v>
      </c>
      <c r="P229" t="str">
        <f>RIGHT(Table1[[#This Row],[Department_Region]],LEN(Table1[[#This Row],[Department_Region]]) - FIND("-",Table1[[#This Row],[Department_Region]]))</f>
        <v>Texas</v>
      </c>
      <c r="Q2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29" s="15"/>
    </row>
    <row r="230" spans="1:18" x14ac:dyDescent="0.2">
      <c r="A230" s="1">
        <v>228</v>
      </c>
      <c r="B230" s="6" t="s">
        <v>492</v>
      </c>
      <c r="C230" t="s">
        <v>69</v>
      </c>
      <c r="D230" t="s">
        <v>124</v>
      </c>
      <c r="E230">
        <v>35</v>
      </c>
      <c r="F230" t="s">
        <v>208</v>
      </c>
      <c r="G230" t="s">
        <v>28</v>
      </c>
      <c r="H230" s="6" t="s">
        <v>493</v>
      </c>
      <c r="I230" s="11">
        <v>75714.28</v>
      </c>
      <c r="J230" t="s">
        <v>137</v>
      </c>
      <c r="K230">
        <v>-5912662014</v>
      </c>
      <c r="L230" t="s">
        <v>30</v>
      </c>
      <c r="M230" t="b">
        <v>1</v>
      </c>
      <c r="N230" s="17">
        <f t="shared" si="3"/>
        <v>44849</v>
      </c>
      <c r="O230" t="str">
        <f>LEFT(Table1[[#This Row],[Department_Region]], FIND("-", Table1[[#This Row],[Department_Region]]) - 1)</f>
        <v>Admin</v>
      </c>
      <c r="P230" t="str">
        <f>RIGHT(Table1[[#This Row],[Department_Region]],LEN(Table1[[#This Row],[Department_Region]]) - FIND("-",Table1[[#This Row],[Department_Region]]))</f>
        <v>Florida</v>
      </c>
      <c r="Q2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30" s="15"/>
    </row>
    <row r="231" spans="1:18" x14ac:dyDescent="0.2">
      <c r="A231" s="1">
        <v>229</v>
      </c>
      <c r="B231" s="6" t="s">
        <v>494</v>
      </c>
      <c r="C231" t="s">
        <v>32</v>
      </c>
      <c r="D231" t="s">
        <v>26</v>
      </c>
      <c r="E231">
        <v>25</v>
      </c>
      <c r="F231" t="s">
        <v>233</v>
      </c>
      <c r="G231" t="s">
        <v>16</v>
      </c>
      <c r="H231" s="6" t="s">
        <v>495</v>
      </c>
      <c r="I231" s="11">
        <v>92171.73</v>
      </c>
      <c r="J231" t="s">
        <v>281</v>
      </c>
      <c r="K231">
        <v>-7201859625</v>
      </c>
      <c r="L231" t="s">
        <v>41</v>
      </c>
      <c r="M231" t="b">
        <v>0</v>
      </c>
      <c r="N231" s="17">
        <f t="shared" si="3"/>
        <v>44712</v>
      </c>
      <c r="O231" t="str">
        <f>LEFT(Table1[[#This Row],[Department_Region]], FIND("-", Table1[[#This Row],[Department_Region]]) - 1)</f>
        <v>DevOps</v>
      </c>
      <c r="P231" t="str">
        <f>RIGHT(Table1[[#This Row],[Department_Region]],LEN(Table1[[#This Row],[Department_Region]]) - FIND("-",Table1[[#This Row],[Department_Region]]))</f>
        <v>Florida</v>
      </c>
      <c r="Q2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31" s="15"/>
    </row>
    <row r="232" spans="1:18" x14ac:dyDescent="0.2">
      <c r="A232" s="1">
        <v>230</v>
      </c>
      <c r="B232" s="6" t="s">
        <v>496</v>
      </c>
      <c r="C232" t="s">
        <v>32</v>
      </c>
      <c r="D232" t="s">
        <v>93</v>
      </c>
      <c r="E232">
        <v>35</v>
      </c>
      <c r="F232" t="s">
        <v>161</v>
      </c>
      <c r="G232" t="s">
        <v>33</v>
      </c>
      <c r="H232" s="6" t="s">
        <v>497</v>
      </c>
      <c r="I232" s="11">
        <v>70694.8</v>
      </c>
      <c r="J232" t="s">
        <v>267</v>
      </c>
      <c r="K232">
        <v>-3013674925</v>
      </c>
      <c r="L232" t="s">
        <v>18</v>
      </c>
      <c r="M232" t="b">
        <v>1</v>
      </c>
      <c r="N232" s="17">
        <f t="shared" si="3"/>
        <v>45184</v>
      </c>
      <c r="O232" t="str">
        <f>LEFT(Table1[[#This Row],[Department_Region]], FIND("-", Table1[[#This Row],[Department_Region]]) - 1)</f>
        <v>Cloud Tech</v>
      </c>
      <c r="P232" t="str">
        <f>RIGHT(Table1[[#This Row],[Department_Region]],LEN(Table1[[#This Row],[Department_Region]]) - FIND("-",Table1[[#This Row],[Department_Region]]))</f>
        <v>Texas</v>
      </c>
      <c r="Q2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32" s="15"/>
    </row>
    <row r="233" spans="1:18" x14ac:dyDescent="0.2">
      <c r="A233" s="1">
        <v>231</v>
      </c>
      <c r="B233" s="6" t="s">
        <v>498</v>
      </c>
      <c r="C233" t="s">
        <v>69</v>
      </c>
      <c r="D233" t="s">
        <v>20</v>
      </c>
      <c r="E233">
        <v>30</v>
      </c>
      <c r="F233" t="s">
        <v>233</v>
      </c>
      <c r="G233" t="s">
        <v>33</v>
      </c>
      <c r="H233" s="6" t="s">
        <v>1757</v>
      </c>
      <c r="I233" s="11">
        <v>52964.86</v>
      </c>
      <c r="J233" t="s">
        <v>204</v>
      </c>
      <c r="K233">
        <v>-1764750110</v>
      </c>
      <c r="L233" t="s">
        <v>30</v>
      </c>
      <c r="M233" t="b">
        <v>1</v>
      </c>
      <c r="N233" s="17">
        <f t="shared" si="3"/>
        <v>44746</v>
      </c>
      <c r="O233" t="str">
        <f>LEFT(Table1[[#This Row],[Department_Region]], FIND("-", Table1[[#This Row],[Department_Region]]) - 1)</f>
        <v>DevOps</v>
      </c>
      <c r="P233" t="str">
        <f>RIGHT(Table1[[#This Row],[Department_Region]],LEN(Table1[[#This Row],[Department_Region]]) - FIND("-",Table1[[#This Row],[Department_Region]]))</f>
        <v>Florida</v>
      </c>
      <c r="Q2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33" s="15"/>
    </row>
    <row r="234" spans="1:18" x14ac:dyDescent="0.2">
      <c r="A234" s="1">
        <v>232</v>
      </c>
      <c r="B234" s="6" t="s">
        <v>499</v>
      </c>
      <c r="C234" t="s">
        <v>37</v>
      </c>
      <c r="D234" t="s">
        <v>20</v>
      </c>
      <c r="E234">
        <v>32</v>
      </c>
      <c r="F234" t="s">
        <v>70</v>
      </c>
      <c r="G234" t="s">
        <v>28</v>
      </c>
      <c r="H234" s="6" t="s">
        <v>1758</v>
      </c>
      <c r="I234" s="11">
        <v>116353.31</v>
      </c>
      <c r="J234" t="s">
        <v>243</v>
      </c>
      <c r="K234">
        <v>-1783099973</v>
      </c>
      <c r="L234" t="s">
        <v>41</v>
      </c>
      <c r="M234" t="b">
        <v>1</v>
      </c>
      <c r="N234" s="17">
        <f t="shared" si="3"/>
        <v>45451</v>
      </c>
      <c r="O234" t="str">
        <f>LEFT(Table1[[#This Row],[Department_Region]], FIND("-", Table1[[#This Row],[Department_Region]]) - 1)</f>
        <v>Finance</v>
      </c>
      <c r="P234" t="str">
        <f>RIGHT(Table1[[#This Row],[Department_Region]],LEN(Table1[[#This Row],[Department_Region]]) - FIND("-",Table1[[#This Row],[Department_Region]]))</f>
        <v>California</v>
      </c>
      <c r="Q2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34" s="15"/>
    </row>
    <row r="235" spans="1:18" x14ac:dyDescent="0.2">
      <c r="A235" s="1">
        <v>233</v>
      </c>
      <c r="B235" s="6" t="s">
        <v>500</v>
      </c>
      <c r="C235" t="s">
        <v>69</v>
      </c>
      <c r="D235" t="s">
        <v>20</v>
      </c>
      <c r="E235">
        <v>35</v>
      </c>
      <c r="F235" t="s">
        <v>222</v>
      </c>
      <c r="G235" t="s">
        <v>28</v>
      </c>
      <c r="H235" s="6" t="s">
        <v>501</v>
      </c>
      <c r="I235" s="11">
        <v>116695.26</v>
      </c>
      <c r="J235" t="s">
        <v>204</v>
      </c>
      <c r="K235">
        <v>-1926764920</v>
      </c>
      <c r="L235" t="s">
        <v>30</v>
      </c>
      <c r="M235" t="b">
        <v>0</v>
      </c>
      <c r="N235" s="17">
        <f t="shared" si="3"/>
        <v>44158</v>
      </c>
      <c r="O235" t="str">
        <f>LEFT(Table1[[#This Row],[Department_Region]], FIND("-", Table1[[#This Row],[Department_Region]]) - 1)</f>
        <v>Sales</v>
      </c>
      <c r="P235" t="str">
        <f>RIGHT(Table1[[#This Row],[Department_Region]],LEN(Table1[[#This Row],[Department_Region]]) - FIND("-",Table1[[#This Row],[Department_Region]]))</f>
        <v>Nevada</v>
      </c>
      <c r="Q2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35" s="15"/>
    </row>
    <row r="236" spans="1:18" x14ac:dyDescent="0.2">
      <c r="A236" s="1">
        <v>234</v>
      </c>
      <c r="B236" s="6" t="s">
        <v>502</v>
      </c>
      <c r="C236" t="s">
        <v>65</v>
      </c>
      <c r="D236" t="s">
        <v>20</v>
      </c>
      <c r="E236">
        <v>25</v>
      </c>
      <c r="F236" t="s">
        <v>104</v>
      </c>
      <c r="G236" t="s">
        <v>16</v>
      </c>
      <c r="H236" s="6" t="s">
        <v>503</v>
      </c>
      <c r="I236" s="11">
        <v>95161.4</v>
      </c>
      <c r="J236" t="s">
        <v>410</v>
      </c>
      <c r="K236">
        <v>-5182606887</v>
      </c>
      <c r="L236" t="s">
        <v>23</v>
      </c>
      <c r="M236" t="b">
        <v>0</v>
      </c>
      <c r="N236" s="17">
        <f t="shared" si="3"/>
        <v>45425</v>
      </c>
      <c r="O236" t="str">
        <f>LEFT(Table1[[#This Row],[Department_Region]], FIND("-", Table1[[#This Row],[Department_Region]]) - 1)</f>
        <v>Admin</v>
      </c>
      <c r="P236" t="str">
        <f>RIGHT(Table1[[#This Row],[Department_Region]],LEN(Table1[[#This Row],[Department_Region]]) - FIND("-",Table1[[#This Row],[Department_Region]]))</f>
        <v>Texas</v>
      </c>
      <c r="Q2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36" s="15"/>
    </row>
    <row r="237" spans="1:18" x14ac:dyDescent="0.2">
      <c r="A237" s="1">
        <v>235</v>
      </c>
      <c r="B237" s="6" t="s">
        <v>504</v>
      </c>
      <c r="C237" t="s">
        <v>25</v>
      </c>
      <c r="D237" t="s">
        <v>20</v>
      </c>
      <c r="E237">
        <v>32</v>
      </c>
      <c r="F237" t="s">
        <v>27</v>
      </c>
      <c r="G237" t="s">
        <v>33</v>
      </c>
      <c r="H237" s="6" t="s">
        <v>505</v>
      </c>
      <c r="I237" s="11">
        <v>76040.94</v>
      </c>
      <c r="J237" t="s">
        <v>81</v>
      </c>
      <c r="K237">
        <v>-7189813128</v>
      </c>
      <c r="L237" t="s">
        <v>30</v>
      </c>
      <c r="M237" t="b">
        <v>1</v>
      </c>
      <c r="N237" s="17">
        <f t="shared" si="3"/>
        <v>44590</v>
      </c>
      <c r="O237" t="str">
        <f>LEFT(Table1[[#This Row],[Department_Region]], FIND("-", Table1[[#This Row],[Department_Region]]) - 1)</f>
        <v>Admin</v>
      </c>
      <c r="P237" t="str">
        <f>RIGHT(Table1[[#This Row],[Department_Region]],LEN(Table1[[#This Row],[Department_Region]]) - FIND("-",Table1[[#This Row],[Department_Region]]))</f>
        <v>Nevada</v>
      </c>
      <c r="Q2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37" s="15"/>
    </row>
    <row r="238" spans="1:18" x14ac:dyDescent="0.2">
      <c r="A238" s="1">
        <v>236</v>
      </c>
      <c r="B238" s="6" t="s">
        <v>506</v>
      </c>
      <c r="C238" t="s">
        <v>54</v>
      </c>
      <c r="D238" t="s">
        <v>93</v>
      </c>
      <c r="E238">
        <v>32</v>
      </c>
      <c r="F238" t="s">
        <v>215</v>
      </c>
      <c r="G238" t="s">
        <v>33</v>
      </c>
      <c r="H238" s="6" t="s">
        <v>507</v>
      </c>
      <c r="I238" s="11">
        <v>69508.28</v>
      </c>
      <c r="J238" t="s">
        <v>508</v>
      </c>
      <c r="K238">
        <v>-2087510292</v>
      </c>
      <c r="L238" t="s">
        <v>30</v>
      </c>
      <c r="M238" t="b">
        <v>0</v>
      </c>
      <c r="N238" s="17">
        <f t="shared" si="3"/>
        <v>45161</v>
      </c>
      <c r="O238" t="str">
        <f>LEFT(Table1[[#This Row],[Department_Region]], FIND("-", Table1[[#This Row],[Department_Region]]) - 1)</f>
        <v>HR</v>
      </c>
      <c r="P238" t="str">
        <f>RIGHT(Table1[[#This Row],[Department_Region]],LEN(Table1[[#This Row],[Department_Region]]) - FIND("-",Table1[[#This Row],[Department_Region]]))</f>
        <v>Florida</v>
      </c>
      <c r="Q2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38" s="15"/>
    </row>
    <row r="239" spans="1:18" x14ac:dyDescent="0.2">
      <c r="A239" s="1">
        <v>237</v>
      </c>
      <c r="B239" s="6" t="s">
        <v>509</v>
      </c>
      <c r="C239" t="s">
        <v>25</v>
      </c>
      <c r="D239" t="s">
        <v>93</v>
      </c>
      <c r="E239">
        <v>30</v>
      </c>
      <c r="F239" t="s">
        <v>269</v>
      </c>
      <c r="G239" t="s">
        <v>33</v>
      </c>
      <c r="H239" s="6" t="s">
        <v>510</v>
      </c>
      <c r="I239" s="11">
        <v>58243.27</v>
      </c>
      <c r="J239" t="s">
        <v>168</v>
      </c>
      <c r="K239">
        <v>-2184011844</v>
      </c>
      <c r="L239" t="s">
        <v>18</v>
      </c>
      <c r="M239" t="b">
        <v>0</v>
      </c>
      <c r="N239" s="17">
        <f t="shared" si="3"/>
        <v>44981</v>
      </c>
      <c r="O239" t="str">
        <f>LEFT(Table1[[#This Row],[Department_Region]], FIND("-", Table1[[#This Row],[Department_Region]]) - 1)</f>
        <v>Finance</v>
      </c>
      <c r="P239" t="str">
        <f>RIGHT(Table1[[#This Row],[Department_Region]],LEN(Table1[[#This Row],[Department_Region]]) - FIND("-",Table1[[#This Row],[Department_Region]]))</f>
        <v>Illinois</v>
      </c>
      <c r="Q2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39" s="15"/>
    </row>
    <row r="240" spans="1:18" x14ac:dyDescent="0.2">
      <c r="A240" s="1">
        <v>238</v>
      </c>
      <c r="B240" s="6" t="s">
        <v>511</v>
      </c>
      <c r="C240" t="s">
        <v>65</v>
      </c>
      <c r="D240" t="s">
        <v>38</v>
      </c>
      <c r="E240">
        <v>30</v>
      </c>
      <c r="F240" t="s">
        <v>180</v>
      </c>
      <c r="G240" t="s">
        <v>28</v>
      </c>
      <c r="H240" s="6" t="s">
        <v>1759</v>
      </c>
      <c r="I240" s="11">
        <v>64012.480000000003</v>
      </c>
      <c r="J240" t="s">
        <v>67</v>
      </c>
      <c r="K240">
        <v>-8260340847</v>
      </c>
      <c r="L240" t="s">
        <v>41</v>
      </c>
      <c r="M240" t="b">
        <v>1</v>
      </c>
      <c r="N240" s="17">
        <f t="shared" si="3"/>
        <v>44836</v>
      </c>
      <c r="O240" t="str">
        <f>LEFT(Table1[[#This Row],[Department_Region]], FIND("-", Table1[[#This Row],[Department_Region]]) - 1)</f>
        <v>Sales</v>
      </c>
      <c r="P240" t="str">
        <f>RIGHT(Table1[[#This Row],[Department_Region]],LEN(Table1[[#This Row],[Department_Region]]) - FIND("-",Table1[[#This Row],[Department_Region]]))</f>
        <v>California</v>
      </c>
      <c r="Q2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40" s="15"/>
    </row>
    <row r="241" spans="1:18" x14ac:dyDescent="0.2">
      <c r="A241" s="1">
        <v>239</v>
      </c>
      <c r="B241" s="6" t="s">
        <v>512</v>
      </c>
      <c r="C241" t="s">
        <v>13</v>
      </c>
      <c r="D241" t="s">
        <v>43</v>
      </c>
      <c r="E241">
        <v>40</v>
      </c>
      <c r="F241" t="s">
        <v>27</v>
      </c>
      <c r="G241" t="s">
        <v>33</v>
      </c>
      <c r="H241" s="6" t="s">
        <v>513</v>
      </c>
      <c r="I241" s="11">
        <v>106735.93</v>
      </c>
      <c r="J241" t="s">
        <v>155</v>
      </c>
      <c r="K241">
        <v>-7297585987</v>
      </c>
      <c r="L241" t="s">
        <v>18</v>
      </c>
      <c r="M241" t="b">
        <v>1</v>
      </c>
      <c r="N241" s="17">
        <f t="shared" si="3"/>
        <v>44010</v>
      </c>
      <c r="O241" t="str">
        <f>LEFT(Table1[[#This Row],[Department_Region]], FIND("-", Table1[[#This Row],[Department_Region]]) - 1)</f>
        <v>Admin</v>
      </c>
      <c r="P241" t="str">
        <f>RIGHT(Table1[[#This Row],[Department_Region]],LEN(Table1[[#This Row],[Department_Region]]) - FIND("-",Table1[[#This Row],[Department_Region]]))</f>
        <v>Nevada</v>
      </c>
      <c r="Q2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41" s="15"/>
    </row>
    <row r="242" spans="1:18" x14ac:dyDescent="0.2">
      <c r="A242" s="1">
        <v>240</v>
      </c>
      <c r="B242" s="6" t="s">
        <v>514</v>
      </c>
      <c r="C242" t="s">
        <v>37</v>
      </c>
      <c r="D242" t="s">
        <v>55</v>
      </c>
      <c r="E242">
        <v>35</v>
      </c>
      <c r="F242" t="s">
        <v>241</v>
      </c>
      <c r="G242" t="s">
        <v>28</v>
      </c>
      <c r="H242" s="6" t="s">
        <v>515</v>
      </c>
      <c r="I242" s="11">
        <v>70325.36</v>
      </c>
      <c r="J242" t="s">
        <v>275</v>
      </c>
      <c r="K242">
        <v>-3103032431</v>
      </c>
      <c r="L242" t="s">
        <v>18</v>
      </c>
      <c r="M242" t="b">
        <v>0</v>
      </c>
      <c r="N242" s="17">
        <f t="shared" si="3"/>
        <v>44941</v>
      </c>
      <c r="O242" t="str">
        <f>LEFT(Table1[[#This Row],[Department_Region]], FIND("-", Table1[[#This Row],[Department_Region]]) - 1)</f>
        <v>DevOps</v>
      </c>
      <c r="P242" t="str">
        <f>RIGHT(Table1[[#This Row],[Department_Region]],LEN(Table1[[#This Row],[Department_Region]]) - FIND("-",Table1[[#This Row],[Department_Region]]))</f>
        <v>Texas</v>
      </c>
      <c r="Q2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42" s="15"/>
    </row>
    <row r="243" spans="1:18" x14ac:dyDescent="0.2">
      <c r="A243" s="1">
        <v>241</v>
      </c>
      <c r="B243" s="6" t="s">
        <v>516</v>
      </c>
      <c r="C243" t="s">
        <v>54</v>
      </c>
      <c r="D243" t="s">
        <v>14</v>
      </c>
      <c r="E243">
        <v>30</v>
      </c>
      <c r="F243" t="s">
        <v>195</v>
      </c>
      <c r="G243" t="s">
        <v>16</v>
      </c>
      <c r="H243" s="6" t="s">
        <v>1760</v>
      </c>
      <c r="I243" s="11">
        <v>118959.28</v>
      </c>
      <c r="J243" t="s">
        <v>173</v>
      </c>
      <c r="K243">
        <v>-9839542960</v>
      </c>
      <c r="L243" t="s">
        <v>18</v>
      </c>
      <c r="M243" t="b">
        <v>1</v>
      </c>
      <c r="N243" s="17">
        <f t="shared" si="3"/>
        <v>44079</v>
      </c>
      <c r="O243" t="str">
        <f>LEFT(Table1[[#This Row],[Department_Region]], FIND("-", Table1[[#This Row],[Department_Region]]) - 1)</f>
        <v>HR</v>
      </c>
      <c r="P243" t="str">
        <f>RIGHT(Table1[[#This Row],[Department_Region]],LEN(Table1[[#This Row],[Department_Region]]) - FIND("-",Table1[[#This Row],[Department_Region]]))</f>
        <v>Illinois</v>
      </c>
      <c r="Q2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43" s="15"/>
    </row>
    <row r="244" spans="1:18" x14ac:dyDescent="0.2">
      <c r="A244" s="1">
        <v>242</v>
      </c>
      <c r="B244" s="6" t="s">
        <v>517</v>
      </c>
      <c r="C244" t="s">
        <v>59</v>
      </c>
      <c r="D244" t="s">
        <v>20</v>
      </c>
      <c r="E244">
        <v>40</v>
      </c>
      <c r="F244" t="s">
        <v>272</v>
      </c>
      <c r="G244" t="s">
        <v>28</v>
      </c>
      <c r="H244" s="6" t="s">
        <v>518</v>
      </c>
      <c r="I244" s="11">
        <v>75823.78</v>
      </c>
      <c r="J244" t="s">
        <v>228</v>
      </c>
      <c r="K244">
        <v>-8446267145</v>
      </c>
      <c r="L244" t="s">
        <v>18</v>
      </c>
      <c r="M244" t="b">
        <v>0</v>
      </c>
      <c r="N244" s="17">
        <f t="shared" si="3"/>
        <v>45003</v>
      </c>
      <c r="O244" t="str">
        <f>LEFT(Table1[[#This Row],[Department_Region]], FIND("-", Table1[[#This Row],[Department_Region]]) - 1)</f>
        <v>Cloud Tech</v>
      </c>
      <c r="P244" t="str">
        <f>RIGHT(Table1[[#This Row],[Department_Region]],LEN(Table1[[#This Row],[Department_Region]]) - FIND("-",Table1[[#This Row],[Department_Region]]))</f>
        <v>California</v>
      </c>
      <c r="Q2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44" s="15"/>
    </row>
    <row r="245" spans="1:18" x14ac:dyDescent="0.2">
      <c r="A245" s="1">
        <v>243</v>
      </c>
      <c r="B245" s="6" t="s">
        <v>519</v>
      </c>
      <c r="C245" t="s">
        <v>54</v>
      </c>
      <c r="D245" t="s">
        <v>124</v>
      </c>
      <c r="E245">
        <v>32</v>
      </c>
      <c r="F245" t="s">
        <v>161</v>
      </c>
      <c r="G245" t="s">
        <v>33</v>
      </c>
      <c r="H245" s="6" t="s">
        <v>520</v>
      </c>
      <c r="I245" s="11">
        <v>119971.65</v>
      </c>
      <c r="J245" t="s">
        <v>197</v>
      </c>
      <c r="K245">
        <v>-2831435988</v>
      </c>
      <c r="L245" t="s">
        <v>18</v>
      </c>
      <c r="M245" t="b">
        <v>0</v>
      </c>
      <c r="N245" s="17">
        <f t="shared" si="3"/>
        <v>44646</v>
      </c>
      <c r="O245" t="str">
        <f>LEFT(Table1[[#This Row],[Department_Region]], FIND("-", Table1[[#This Row],[Department_Region]]) - 1)</f>
        <v>Cloud Tech</v>
      </c>
      <c r="P245" t="str">
        <f>RIGHT(Table1[[#This Row],[Department_Region]],LEN(Table1[[#This Row],[Department_Region]]) - FIND("-",Table1[[#This Row],[Department_Region]]))</f>
        <v>Texas</v>
      </c>
      <c r="Q2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45" s="15"/>
    </row>
    <row r="246" spans="1:18" x14ac:dyDescent="0.2">
      <c r="A246" s="1">
        <v>244</v>
      </c>
      <c r="B246" s="6" t="s">
        <v>521</v>
      </c>
      <c r="C246" t="s">
        <v>69</v>
      </c>
      <c r="D246" t="s">
        <v>14</v>
      </c>
      <c r="E246">
        <v>40</v>
      </c>
      <c r="F246" t="s">
        <v>44</v>
      </c>
      <c r="G246" t="s">
        <v>16</v>
      </c>
      <c r="H246" s="6" t="s">
        <v>522</v>
      </c>
      <c r="I246" s="11">
        <v>94963.7</v>
      </c>
      <c r="J246" t="s">
        <v>239</v>
      </c>
      <c r="K246">
        <v>-2625660930</v>
      </c>
      <c r="L246" t="s">
        <v>30</v>
      </c>
      <c r="M246" t="b">
        <v>0</v>
      </c>
      <c r="N246" s="17">
        <f t="shared" si="3"/>
        <v>44480</v>
      </c>
      <c r="O246" t="str">
        <f>LEFT(Table1[[#This Row],[Department_Region]], FIND("-", Table1[[#This Row],[Department_Region]]) - 1)</f>
        <v>Sales</v>
      </c>
      <c r="P246" t="str">
        <f>RIGHT(Table1[[#This Row],[Department_Region]],LEN(Table1[[#This Row],[Department_Region]]) - FIND("-",Table1[[#This Row],[Department_Region]]))</f>
        <v>Texas</v>
      </c>
      <c r="Q2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46" s="15"/>
    </row>
    <row r="247" spans="1:18" x14ac:dyDescent="0.2">
      <c r="A247" s="1">
        <v>245</v>
      </c>
      <c r="B247" s="6" t="s">
        <v>523</v>
      </c>
      <c r="C247" t="s">
        <v>37</v>
      </c>
      <c r="D247" t="s">
        <v>93</v>
      </c>
      <c r="E247">
        <v>30</v>
      </c>
      <c r="F247" t="s">
        <v>222</v>
      </c>
      <c r="G247" t="s">
        <v>28</v>
      </c>
      <c r="H247" s="6" t="s">
        <v>1761</v>
      </c>
      <c r="I247" s="11">
        <v>103744.71</v>
      </c>
      <c r="J247" t="s">
        <v>111</v>
      </c>
      <c r="K247">
        <v>-4181861514</v>
      </c>
      <c r="L247" t="s">
        <v>18</v>
      </c>
      <c r="M247" t="b">
        <v>0</v>
      </c>
      <c r="N247" s="17">
        <f t="shared" si="3"/>
        <v>44203</v>
      </c>
      <c r="O247" t="str">
        <f>LEFT(Table1[[#This Row],[Department_Region]], FIND("-", Table1[[#This Row],[Department_Region]]) - 1)</f>
        <v>Sales</v>
      </c>
      <c r="P247" t="str">
        <f>RIGHT(Table1[[#This Row],[Department_Region]],LEN(Table1[[#This Row],[Department_Region]]) - FIND("-",Table1[[#This Row],[Department_Region]]))</f>
        <v>Nevada</v>
      </c>
      <c r="Q2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47" s="15"/>
    </row>
    <row r="248" spans="1:18" x14ac:dyDescent="0.2">
      <c r="A248" s="1">
        <v>246</v>
      </c>
      <c r="B248" s="6" t="s">
        <v>524</v>
      </c>
      <c r="C248" t="s">
        <v>25</v>
      </c>
      <c r="D248" t="s">
        <v>124</v>
      </c>
      <c r="E248">
        <v>25</v>
      </c>
      <c r="F248" t="s">
        <v>110</v>
      </c>
      <c r="G248" t="s">
        <v>33</v>
      </c>
      <c r="H248" s="6" t="s">
        <v>1762</v>
      </c>
      <c r="I248" s="11">
        <v>61337.69</v>
      </c>
      <c r="J248" t="s">
        <v>185</v>
      </c>
      <c r="K248">
        <v>-5423401635</v>
      </c>
      <c r="L248" t="s">
        <v>18</v>
      </c>
      <c r="M248" t="b">
        <v>1</v>
      </c>
      <c r="N248" s="17">
        <f t="shared" si="3"/>
        <v>44168</v>
      </c>
      <c r="O248" t="str">
        <f>LEFT(Table1[[#This Row],[Department_Region]], FIND("-", Table1[[#This Row],[Department_Region]]) - 1)</f>
        <v>Sales</v>
      </c>
      <c r="P248" t="str">
        <f>RIGHT(Table1[[#This Row],[Department_Region]],LEN(Table1[[#This Row],[Department_Region]]) - FIND("-",Table1[[#This Row],[Department_Region]]))</f>
        <v>New York</v>
      </c>
      <c r="Q2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48" s="15"/>
    </row>
    <row r="249" spans="1:18" x14ac:dyDescent="0.2">
      <c r="A249" s="1">
        <v>247</v>
      </c>
      <c r="B249" s="6" t="s">
        <v>525</v>
      </c>
      <c r="C249" t="s">
        <v>59</v>
      </c>
      <c r="D249" t="s">
        <v>124</v>
      </c>
      <c r="E249">
        <v>35</v>
      </c>
      <c r="F249" t="s">
        <v>180</v>
      </c>
      <c r="G249" t="s">
        <v>16</v>
      </c>
      <c r="H249" s="6" t="s">
        <v>526</v>
      </c>
      <c r="I249" s="11">
        <v>63741.13</v>
      </c>
      <c r="J249" t="s">
        <v>346</v>
      </c>
      <c r="K249">
        <v>-1128497184</v>
      </c>
      <c r="L249" t="s">
        <v>41</v>
      </c>
      <c r="M249" t="b">
        <v>1</v>
      </c>
      <c r="N249" s="17">
        <f t="shared" si="3"/>
        <v>44344</v>
      </c>
      <c r="O249" t="str">
        <f>LEFT(Table1[[#This Row],[Department_Region]], FIND("-", Table1[[#This Row],[Department_Region]]) - 1)</f>
        <v>Sales</v>
      </c>
      <c r="P249" t="str">
        <f>RIGHT(Table1[[#This Row],[Department_Region]],LEN(Table1[[#This Row],[Department_Region]]) - FIND("-",Table1[[#This Row],[Department_Region]]))</f>
        <v>California</v>
      </c>
      <c r="Q2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49" s="15"/>
    </row>
    <row r="250" spans="1:18" x14ac:dyDescent="0.2">
      <c r="A250" s="1">
        <v>248</v>
      </c>
      <c r="B250" s="6" t="s">
        <v>527</v>
      </c>
      <c r="C250" t="s">
        <v>32</v>
      </c>
      <c r="D250" t="s">
        <v>124</v>
      </c>
      <c r="E250">
        <v>30</v>
      </c>
      <c r="F250" t="s">
        <v>15</v>
      </c>
      <c r="G250" t="s">
        <v>28</v>
      </c>
      <c r="H250" s="6" t="s">
        <v>528</v>
      </c>
      <c r="I250" s="11">
        <v>56539.99</v>
      </c>
      <c r="J250" t="s">
        <v>529</v>
      </c>
      <c r="K250">
        <v>-9484910255</v>
      </c>
      <c r="L250" t="s">
        <v>23</v>
      </c>
      <c r="M250" t="b">
        <v>1</v>
      </c>
      <c r="N250" s="17">
        <f t="shared" si="3"/>
        <v>44923</v>
      </c>
      <c r="O250" t="str">
        <f>LEFT(Table1[[#This Row],[Department_Region]], FIND("-", Table1[[#This Row],[Department_Region]]) - 1)</f>
        <v>DevOps</v>
      </c>
      <c r="P250" t="str">
        <f>RIGHT(Table1[[#This Row],[Department_Region]],LEN(Table1[[#This Row],[Department_Region]]) - FIND("-",Table1[[#This Row],[Department_Region]]))</f>
        <v>California</v>
      </c>
      <c r="Q2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50" s="15"/>
    </row>
    <row r="251" spans="1:18" x14ac:dyDescent="0.2">
      <c r="A251" s="1">
        <v>249</v>
      </c>
      <c r="B251" s="6" t="s">
        <v>530</v>
      </c>
      <c r="C251" t="s">
        <v>54</v>
      </c>
      <c r="D251" t="s">
        <v>38</v>
      </c>
      <c r="E251">
        <v>30</v>
      </c>
      <c r="F251" t="s">
        <v>79</v>
      </c>
      <c r="G251" t="s">
        <v>28</v>
      </c>
      <c r="H251" s="6" t="s">
        <v>531</v>
      </c>
      <c r="I251" s="11">
        <v>73633.37</v>
      </c>
      <c r="J251" t="s">
        <v>91</v>
      </c>
      <c r="K251">
        <v>-2588967923</v>
      </c>
      <c r="L251" t="s">
        <v>30</v>
      </c>
      <c r="M251" t="b">
        <v>1</v>
      </c>
      <c r="N251" s="17">
        <f t="shared" si="3"/>
        <v>45070</v>
      </c>
      <c r="O251" t="str">
        <f>LEFT(Table1[[#This Row],[Department_Region]], FIND("-", Table1[[#This Row],[Department_Region]]) - 1)</f>
        <v>DevOps</v>
      </c>
      <c r="P251" t="str">
        <f>RIGHT(Table1[[#This Row],[Department_Region]],LEN(Table1[[#This Row],[Department_Region]]) - FIND("-",Table1[[#This Row],[Department_Region]]))</f>
        <v>Illinois</v>
      </c>
      <c r="Q2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51" s="15"/>
    </row>
    <row r="252" spans="1:18" x14ac:dyDescent="0.2">
      <c r="A252" s="1">
        <v>250</v>
      </c>
      <c r="B252" s="6" t="s">
        <v>532</v>
      </c>
      <c r="C252" t="s">
        <v>25</v>
      </c>
      <c r="D252" t="s">
        <v>93</v>
      </c>
      <c r="E252">
        <v>25</v>
      </c>
      <c r="F252" t="s">
        <v>161</v>
      </c>
      <c r="G252" t="s">
        <v>28</v>
      </c>
      <c r="H252" s="6" t="s">
        <v>533</v>
      </c>
      <c r="I252" s="11">
        <v>90373.99</v>
      </c>
      <c r="J252" t="s">
        <v>168</v>
      </c>
      <c r="K252">
        <v>-822269404</v>
      </c>
      <c r="L252" t="s">
        <v>30</v>
      </c>
      <c r="M252" t="b">
        <v>0</v>
      </c>
      <c r="N252" s="17">
        <f t="shared" si="3"/>
        <v>45410</v>
      </c>
      <c r="O252" t="str">
        <f>LEFT(Table1[[#This Row],[Department_Region]], FIND("-", Table1[[#This Row],[Department_Region]]) - 1)</f>
        <v>Cloud Tech</v>
      </c>
      <c r="P252" t="str">
        <f>RIGHT(Table1[[#This Row],[Department_Region]],LEN(Table1[[#This Row],[Department_Region]]) - FIND("-",Table1[[#This Row],[Department_Region]]))</f>
        <v>Texas</v>
      </c>
      <c r="Q2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2" s="15"/>
    </row>
    <row r="253" spans="1:18" x14ac:dyDescent="0.2">
      <c r="A253" s="1">
        <v>251</v>
      </c>
      <c r="B253" s="6" t="s">
        <v>534</v>
      </c>
      <c r="C253" t="s">
        <v>69</v>
      </c>
      <c r="D253" t="s">
        <v>124</v>
      </c>
      <c r="E253">
        <v>32</v>
      </c>
      <c r="F253" t="s">
        <v>241</v>
      </c>
      <c r="G253" t="s">
        <v>33</v>
      </c>
      <c r="H253" s="6" t="s">
        <v>535</v>
      </c>
      <c r="I253" s="11">
        <v>93901.48</v>
      </c>
      <c r="J253" t="s">
        <v>137</v>
      </c>
      <c r="K253">
        <v>-3967275783</v>
      </c>
      <c r="L253" t="s">
        <v>30</v>
      </c>
      <c r="M253" t="b">
        <v>0</v>
      </c>
      <c r="N253" s="17">
        <f t="shared" si="3"/>
        <v>45651</v>
      </c>
      <c r="O253" t="str">
        <f>LEFT(Table1[[#This Row],[Department_Region]], FIND("-", Table1[[#This Row],[Department_Region]]) - 1)</f>
        <v>DevOps</v>
      </c>
      <c r="P253" t="str">
        <f>RIGHT(Table1[[#This Row],[Department_Region]],LEN(Table1[[#This Row],[Department_Region]]) - FIND("-",Table1[[#This Row],[Department_Region]]))</f>
        <v>Texas</v>
      </c>
      <c r="Q2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3" s="15"/>
    </row>
    <row r="254" spans="1:18" x14ac:dyDescent="0.2">
      <c r="A254" s="1">
        <v>252</v>
      </c>
      <c r="B254" s="6" t="s">
        <v>536</v>
      </c>
      <c r="C254" t="s">
        <v>32</v>
      </c>
      <c r="D254" t="s">
        <v>20</v>
      </c>
      <c r="E254">
        <v>40</v>
      </c>
      <c r="F254" t="s">
        <v>27</v>
      </c>
      <c r="G254" t="s">
        <v>33</v>
      </c>
      <c r="H254" s="6" t="s">
        <v>1763</v>
      </c>
      <c r="I254" s="11">
        <v>81748.09</v>
      </c>
      <c r="J254" t="s">
        <v>157</v>
      </c>
      <c r="K254">
        <v>-4683414650</v>
      </c>
      <c r="L254" t="s">
        <v>18</v>
      </c>
      <c r="M254" t="b">
        <v>1</v>
      </c>
      <c r="N254" s="17">
        <f t="shared" si="3"/>
        <v>44440</v>
      </c>
      <c r="O254" t="str">
        <f>LEFT(Table1[[#This Row],[Department_Region]], FIND("-", Table1[[#This Row],[Department_Region]]) - 1)</f>
        <v>Admin</v>
      </c>
      <c r="P254" t="str">
        <f>RIGHT(Table1[[#This Row],[Department_Region]],LEN(Table1[[#This Row],[Department_Region]]) - FIND("-",Table1[[#This Row],[Department_Region]]))</f>
        <v>Nevada</v>
      </c>
      <c r="Q2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54" s="15"/>
    </row>
    <row r="255" spans="1:18" x14ac:dyDescent="0.2">
      <c r="A255" s="1">
        <v>253</v>
      </c>
      <c r="B255" s="6" t="s">
        <v>537</v>
      </c>
      <c r="C255" t="s">
        <v>54</v>
      </c>
      <c r="D255" t="s">
        <v>26</v>
      </c>
      <c r="E255">
        <v>40</v>
      </c>
      <c r="F255" t="s">
        <v>113</v>
      </c>
      <c r="G255" t="s">
        <v>33</v>
      </c>
      <c r="H255" s="6" t="s">
        <v>538</v>
      </c>
      <c r="I255" s="11">
        <v>73813.48</v>
      </c>
      <c r="J255" t="s">
        <v>122</v>
      </c>
      <c r="K255">
        <v>-1131290147</v>
      </c>
      <c r="L255" t="s">
        <v>18</v>
      </c>
      <c r="M255" t="b">
        <v>0</v>
      </c>
      <c r="N255" s="17">
        <f t="shared" si="3"/>
        <v>44248</v>
      </c>
      <c r="O255" t="str">
        <f>LEFT(Table1[[#This Row],[Department_Region]], FIND("-", Table1[[#This Row],[Department_Region]]) - 1)</f>
        <v>Finance</v>
      </c>
      <c r="P255" t="str">
        <f>RIGHT(Table1[[#This Row],[Department_Region]],LEN(Table1[[#This Row],[Department_Region]]) - FIND("-",Table1[[#This Row],[Department_Region]]))</f>
        <v>Florida</v>
      </c>
      <c r="Q2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5" s="15"/>
    </row>
    <row r="256" spans="1:18" x14ac:dyDescent="0.2">
      <c r="A256" s="1">
        <v>254</v>
      </c>
      <c r="B256" s="6" t="s">
        <v>539</v>
      </c>
      <c r="C256" t="s">
        <v>37</v>
      </c>
      <c r="D256" t="s">
        <v>124</v>
      </c>
      <c r="E256">
        <v>35</v>
      </c>
      <c r="F256" t="s">
        <v>230</v>
      </c>
      <c r="G256" t="s">
        <v>33</v>
      </c>
      <c r="H256" s="6" t="s">
        <v>540</v>
      </c>
      <c r="I256" s="11">
        <v>89315.59</v>
      </c>
      <c r="J256" t="s">
        <v>139</v>
      </c>
      <c r="K256">
        <v>-7068277880</v>
      </c>
      <c r="L256" t="s">
        <v>18</v>
      </c>
      <c r="M256" t="b">
        <v>0</v>
      </c>
      <c r="N256" s="17">
        <f t="shared" si="3"/>
        <v>44885</v>
      </c>
      <c r="O256" t="str">
        <f>LEFT(Table1[[#This Row],[Department_Region]], FIND("-", Table1[[#This Row],[Department_Region]]) - 1)</f>
        <v>Finance</v>
      </c>
      <c r="P256" t="str">
        <f>RIGHT(Table1[[#This Row],[Department_Region]],LEN(Table1[[#This Row],[Department_Region]]) - FIND("-",Table1[[#This Row],[Department_Region]]))</f>
        <v>New York</v>
      </c>
      <c r="Q2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6" s="15"/>
    </row>
    <row r="257" spans="1:18" x14ac:dyDescent="0.2">
      <c r="A257" s="1">
        <v>255</v>
      </c>
      <c r="B257" s="6" t="s">
        <v>541</v>
      </c>
      <c r="C257" t="s">
        <v>65</v>
      </c>
      <c r="D257" t="s">
        <v>38</v>
      </c>
      <c r="E257">
        <v>25</v>
      </c>
      <c r="F257" t="s">
        <v>215</v>
      </c>
      <c r="G257" t="s">
        <v>16</v>
      </c>
      <c r="H257" s="6" t="s">
        <v>361</v>
      </c>
      <c r="I257" s="11">
        <v>56776.82</v>
      </c>
      <c r="J257" t="s">
        <v>67</v>
      </c>
      <c r="K257">
        <v>-6093068537</v>
      </c>
      <c r="L257" t="s">
        <v>41</v>
      </c>
      <c r="M257" t="b">
        <v>0</v>
      </c>
      <c r="N257" s="17">
        <f t="shared" si="3"/>
        <v>44119</v>
      </c>
      <c r="O257" t="str">
        <f>LEFT(Table1[[#This Row],[Department_Region]], FIND("-", Table1[[#This Row],[Department_Region]]) - 1)</f>
        <v>HR</v>
      </c>
      <c r="P257" t="str">
        <f>RIGHT(Table1[[#This Row],[Department_Region]],LEN(Table1[[#This Row],[Department_Region]]) - FIND("-",Table1[[#This Row],[Department_Region]]))</f>
        <v>Florida</v>
      </c>
      <c r="Q2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7" s="15"/>
    </row>
    <row r="258" spans="1:18" x14ac:dyDescent="0.2">
      <c r="A258" s="1">
        <v>256</v>
      </c>
      <c r="B258" s="6" t="s">
        <v>542</v>
      </c>
      <c r="C258" t="s">
        <v>69</v>
      </c>
      <c r="D258" t="s">
        <v>14</v>
      </c>
      <c r="E258">
        <v>32</v>
      </c>
      <c r="F258" t="s">
        <v>230</v>
      </c>
      <c r="G258" t="s">
        <v>16</v>
      </c>
      <c r="H258" s="6" t="s">
        <v>543</v>
      </c>
      <c r="I258" s="11">
        <v>72920.509999999995</v>
      </c>
      <c r="J258" t="s">
        <v>239</v>
      </c>
      <c r="K258">
        <v>-9097283214</v>
      </c>
      <c r="L258" t="s">
        <v>23</v>
      </c>
      <c r="M258" t="b">
        <v>1</v>
      </c>
      <c r="N258" s="17">
        <f t="shared" ref="N258:N321" si="4">IF(ISNUMBER(H258), H258, DATE(RIGHT(H258, 4), LEFT(H258, FIND("/", H258) - 1), MID(H258, FIND("/", H258) + 1, FIND("/", H258, FIND("/", H258) + 1) - FIND("/", H258) - 1)))</f>
        <v>45497</v>
      </c>
      <c r="O258" t="str">
        <f>LEFT(Table1[[#This Row],[Department_Region]], FIND("-", Table1[[#This Row],[Department_Region]]) - 1)</f>
        <v>Finance</v>
      </c>
      <c r="P258" t="str">
        <f>RIGHT(Table1[[#This Row],[Department_Region]],LEN(Table1[[#This Row],[Department_Region]]) - FIND("-",Table1[[#This Row],[Department_Region]]))</f>
        <v>New York</v>
      </c>
      <c r="Q2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58" s="15"/>
    </row>
    <row r="259" spans="1:18" x14ac:dyDescent="0.2">
      <c r="A259" s="1">
        <v>257</v>
      </c>
      <c r="B259" s="6" t="s">
        <v>544</v>
      </c>
      <c r="C259" t="s">
        <v>37</v>
      </c>
      <c r="D259" t="s">
        <v>93</v>
      </c>
      <c r="E259">
        <v>30</v>
      </c>
      <c r="F259" t="s">
        <v>208</v>
      </c>
      <c r="G259" t="s">
        <v>28</v>
      </c>
      <c r="H259" s="6" t="s">
        <v>545</v>
      </c>
      <c r="I259" s="11">
        <v>84913.18</v>
      </c>
      <c r="J259" t="s">
        <v>111</v>
      </c>
      <c r="K259">
        <v>-2850676250</v>
      </c>
      <c r="L259" t="s">
        <v>18</v>
      </c>
      <c r="M259" t="b">
        <v>1</v>
      </c>
      <c r="N259" s="17">
        <f t="shared" si="4"/>
        <v>44787</v>
      </c>
      <c r="O259" t="str">
        <f>LEFT(Table1[[#This Row],[Department_Region]], FIND("-", Table1[[#This Row],[Department_Region]]) - 1)</f>
        <v>Admin</v>
      </c>
      <c r="P259" t="str">
        <f>RIGHT(Table1[[#This Row],[Department_Region]],LEN(Table1[[#This Row],[Department_Region]]) - FIND("-",Table1[[#This Row],[Department_Region]]))</f>
        <v>Florida</v>
      </c>
      <c r="Q2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59" s="15"/>
    </row>
    <row r="260" spans="1:18" x14ac:dyDescent="0.2">
      <c r="A260" s="1">
        <v>258</v>
      </c>
      <c r="B260" s="6" t="s">
        <v>546</v>
      </c>
      <c r="C260" t="s">
        <v>25</v>
      </c>
      <c r="D260" t="s">
        <v>43</v>
      </c>
      <c r="E260">
        <v>25</v>
      </c>
      <c r="F260" t="s">
        <v>269</v>
      </c>
      <c r="G260" t="s">
        <v>33</v>
      </c>
      <c r="H260" s="6" t="s">
        <v>1684</v>
      </c>
      <c r="I260" s="11">
        <v>65060.11</v>
      </c>
      <c r="J260" t="s">
        <v>45</v>
      </c>
      <c r="K260">
        <v>-5381447442</v>
      </c>
      <c r="L260" t="s">
        <v>23</v>
      </c>
      <c r="M260" t="b">
        <v>1</v>
      </c>
      <c r="N260" s="17">
        <f t="shared" si="4"/>
        <v>44324</v>
      </c>
      <c r="O260" t="str">
        <f>LEFT(Table1[[#This Row],[Department_Region]], FIND("-", Table1[[#This Row],[Department_Region]]) - 1)</f>
        <v>Finance</v>
      </c>
      <c r="P260" t="str">
        <f>RIGHT(Table1[[#This Row],[Department_Region]],LEN(Table1[[#This Row],[Department_Region]]) - FIND("-",Table1[[#This Row],[Department_Region]]))</f>
        <v>Illinois</v>
      </c>
      <c r="Q2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0" s="15"/>
    </row>
    <row r="261" spans="1:18" x14ac:dyDescent="0.2">
      <c r="A261" s="1">
        <v>259</v>
      </c>
      <c r="B261" s="6" t="s">
        <v>547</v>
      </c>
      <c r="C261" t="s">
        <v>25</v>
      </c>
      <c r="D261" t="s">
        <v>38</v>
      </c>
      <c r="E261">
        <v>35</v>
      </c>
      <c r="F261" t="s">
        <v>269</v>
      </c>
      <c r="G261" t="s">
        <v>28</v>
      </c>
      <c r="H261" s="6" t="s">
        <v>1764</v>
      </c>
      <c r="I261" s="11">
        <v>82941.08</v>
      </c>
      <c r="J261" t="s">
        <v>368</v>
      </c>
      <c r="K261">
        <v>-963480796</v>
      </c>
      <c r="L261" t="s">
        <v>41</v>
      </c>
      <c r="M261" t="b">
        <v>0</v>
      </c>
      <c r="N261" s="17">
        <f t="shared" si="4"/>
        <v>45208</v>
      </c>
      <c r="O261" t="str">
        <f>LEFT(Table1[[#This Row],[Department_Region]], FIND("-", Table1[[#This Row],[Department_Region]]) - 1)</f>
        <v>Finance</v>
      </c>
      <c r="P261" t="str">
        <f>RIGHT(Table1[[#This Row],[Department_Region]],LEN(Table1[[#This Row],[Department_Region]]) - FIND("-",Table1[[#This Row],[Department_Region]]))</f>
        <v>Illinois</v>
      </c>
      <c r="Q2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1" s="15"/>
    </row>
    <row r="262" spans="1:18" x14ac:dyDescent="0.2">
      <c r="A262" s="1">
        <v>260</v>
      </c>
      <c r="B262" s="6" t="s">
        <v>548</v>
      </c>
      <c r="C262" t="s">
        <v>13</v>
      </c>
      <c r="D262" t="s">
        <v>124</v>
      </c>
      <c r="E262">
        <v>40</v>
      </c>
      <c r="F262" t="s">
        <v>120</v>
      </c>
      <c r="G262" t="s">
        <v>28</v>
      </c>
      <c r="H262" s="6" t="s">
        <v>549</v>
      </c>
      <c r="I262" s="11">
        <v>103469.97</v>
      </c>
      <c r="J262" t="s">
        <v>125</v>
      </c>
      <c r="K262">
        <v>-509754509</v>
      </c>
      <c r="L262" t="s">
        <v>30</v>
      </c>
      <c r="M262" t="b">
        <v>1</v>
      </c>
      <c r="N262" s="17">
        <f t="shared" si="4"/>
        <v>44580</v>
      </c>
      <c r="O262" t="str">
        <f>LEFT(Table1[[#This Row],[Department_Region]], FIND("-", Table1[[#This Row],[Department_Region]]) - 1)</f>
        <v>Admin</v>
      </c>
      <c r="P262" t="str">
        <f>RIGHT(Table1[[#This Row],[Department_Region]],LEN(Table1[[#This Row],[Department_Region]]) - FIND("-",Table1[[#This Row],[Department_Region]]))</f>
        <v>California</v>
      </c>
      <c r="Q2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62" s="15"/>
    </row>
    <row r="263" spans="1:18" x14ac:dyDescent="0.2">
      <c r="A263" s="1">
        <v>261</v>
      </c>
      <c r="B263" s="6" t="s">
        <v>550</v>
      </c>
      <c r="C263" t="s">
        <v>69</v>
      </c>
      <c r="D263" t="s">
        <v>93</v>
      </c>
      <c r="E263">
        <v>25</v>
      </c>
      <c r="F263" t="s">
        <v>99</v>
      </c>
      <c r="G263" t="s">
        <v>16</v>
      </c>
      <c r="H263" s="6" t="s">
        <v>1765</v>
      </c>
      <c r="I263" s="11">
        <v>88725.6</v>
      </c>
      <c r="J263" t="s">
        <v>170</v>
      </c>
      <c r="K263">
        <v>-5265016730</v>
      </c>
      <c r="L263" t="s">
        <v>18</v>
      </c>
      <c r="M263" t="b">
        <v>1</v>
      </c>
      <c r="N263" s="17">
        <f t="shared" si="4"/>
        <v>44573</v>
      </c>
      <c r="O263" t="str">
        <f>LEFT(Table1[[#This Row],[Department_Region]], FIND("-", Table1[[#This Row],[Department_Region]]) - 1)</f>
        <v>Sales</v>
      </c>
      <c r="P263" t="str">
        <f>RIGHT(Table1[[#This Row],[Department_Region]],LEN(Table1[[#This Row],[Department_Region]]) - FIND("-",Table1[[#This Row],[Department_Region]]))</f>
        <v>Illinois</v>
      </c>
      <c r="Q2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3" s="15"/>
    </row>
    <row r="264" spans="1:18" x14ac:dyDescent="0.2">
      <c r="A264" s="1">
        <v>262</v>
      </c>
      <c r="B264" s="6" t="s">
        <v>551</v>
      </c>
      <c r="C264" t="s">
        <v>65</v>
      </c>
      <c r="D264" t="s">
        <v>26</v>
      </c>
      <c r="E264">
        <v>32</v>
      </c>
      <c r="F264" t="s">
        <v>195</v>
      </c>
      <c r="G264" t="s">
        <v>28</v>
      </c>
      <c r="H264" s="6" t="s">
        <v>1766</v>
      </c>
      <c r="I264" s="11">
        <v>58316.77</v>
      </c>
      <c r="J264" t="s">
        <v>324</v>
      </c>
      <c r="K264">
        <v>-8826170242</v>
      </c>
      <c r="L264" t="s">
        <v>23</v>
      </c>
      <c r="M264" t="b">
        <v>1</v>
      </c>
      <c r="N264" s="17">
        <f t="shared" si="4"/>
        <v>45082</v>
      </c>
      <c r="O264" t="str">
        <f>LEFT(Table1[[#This Row],[Department_Region]], FIND("-", Table1[[#This Row],[Department_Region]]) - 1)</f>
        <v>HR</v>
      </c>
      <c r="P264" t="str">
        <f>RIGHT(Table1[[#This Row],[Department_Region]],LEN(Table1[[#This Row],[Department_Region]]) - FIND("-",Table1[[#This Row],[Department_Region]]))</f>
        <v>Illinois</v>
      </c>
      <c r="Q2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4" s="15"/>
    </row>
    <row r="265" spans="1:18" x14ac:dyDescent="0.2">
      <c r="A265" s="1">
        <v>263</v>
      </c>
      <c r="B265" s="6" t="s">
        <v>552</v>
      </c>
      <c r="C265" t="s">
        <v>69</v>
      </c>
      <c r="D265" t="s">
        <v>124</v>
      </c>
      <c r="E265">
        <v>35</v>
      </c>
      <c r="F265" t="s">
        <v>195</v>
      </c>
      <c r="G265" t="s">
        <v>33</v>
      </c>
      <c r="H265" s="6" t="s">
        <v>553</v>
      </c>
      <c r="I265" s="11">
        <v>60098.720000000001</v>
      </c>
      <c r="J265" t="s">
        <v>137</v>
      </c>
      <c r="K265">
        <v>-7654562840</v>
      </c>
      <c r="L265" t="s">
        <v>23</v>
      </c>
      <c r="M265" t="b">
        <v>1</v>
      </c>
      <c r="N265" s="17">
        <f t="shared" si="4"/>
        <v>45377</v>
      </c>
      <c r="O265" t="str">
        <f>LEFT(Table1[[#This Row],[Department_Region]], FIND("-", Table1[[#This Row],[Department_Region]]) - 1)</f>
        <v>HR</v>
      </c>
      <c r="P265" t="str">
        <f>RIGHT(Table1[[#This Row],[Department_Region]],LEN(Table1[[#This Row],[Department_Region]]) - FIND("-",Table1[[#This Row],[Department_Region]]))</f>
        <v>Illinois</v>
      </c>
      <c r="Q2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5" s="15"/>
    </row>
    <row r="266" spans="1:18" x14ac:dyDescent="0.2">
      <c r="A266" s="1">
        <v>264</v>
      </c>
      <c r="B266" s="6" t="s">
        <v>554</v>
      </c>
      <c r="C266" t="s">
        <v>69</v>
      </c>
      <c r="D266" t="s">
        <v>38</v>
      </c>
      <c r="E266">
        <v>32</v>
      </c>
      <c r="F266" t="s">
        <v>161</v>
      </c>
      <c r="G266" t="s">
        <v>16</v>
      </c>
      <c r="H266" s="6" t="s">
        <v>1767</v>
      </c>
      <c r="I266" s="11">
        <v>99951.43</v>
      </c>
      <c r="J266" t="s">
        <v>72</v>
      </c>
      <c r="K266">
        <v>-7722560530</v>
      </c>
      <c r="L266" t="s">
        <v>18</v>
      </c>
      <c r="M266" t="b">
        <v>1</v>
      </c>
      <c r="N266" s="17">
        <f t="shared" si="4"/>
        <v>44111</v>
      </c>
      <c r="O266" t="str">
        <f>LEFT(Table1[[#This Row],[Department_Region]], FIND("-", Table1[[#This Row],[Department_Region]]) - 1)</f>
        <v>Cloud Tech</v>
      </c>
      <c r="P266" t="str">
        <f>RIGHT(Table1[[#This Row],[Department_Region]],LEN(Table1[[#This Row],[Department_Region]]) - FIND("-",Table1[[#This Row],[Department_Region]]))</f>
        <v>Texas</v>
      </c>
      <c r="Q2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6" s="15"/>
    </row>
    <row r="267" spans="1:18" x14ac:dyDescent="0.2">
      <c r="A267" s="1">
        <v>265</v>
      </c>
      <c r="B267" s="6" t="s">
        <v>555</v>
      </c>
      <c r="C267" t="s">
        <v>65</v>
      </c>
      <c r="D267" t="s">
        <v>55</v>
      </c>
      <c r="E267">
        <v>30</v>
      </c>
      <c r="F267" t="s">
        <v>99</v>
      </c>
      <c r="G267" t="s">
        <v>16</v>
      </c>
      <c r="H267" s="6" t="s">
        <v>1768</v>
      </c>
      <c r="I267" s="11">
        <v>115195.81</v>
      </c>
      <c r="J267" t="s">
        <v>114</v>
      </c>
      <c r="K267">
        <v>-3402665022</v>
      </c>
      <c r="L267" t="s">
        <v>30</v>
      </c>
      <c r="M267" t="b">
        <v>1</v>
      </c>
      <c r="N267" s="17">
        <f t="shared" si="4"/>
        <v>44502</v>
      </c>
      <c r="O267" t="str">
        <f>LEFT(Table1[[#This Row],[Department_Region]], FIND("-", Table1[[#This Row],[Department_Region]]) - 1)</f>
        <v>Sales</v>
      </c>
      <c r="P267" t="str">
        <f>RIGHT(Table1[[#This Row],[Department_Region]],LEN(Table1[[#This Row],[Department_Region]]) - FIND("-",Table1[[#This Row],[Department_Region]]))</f>
        <v>Illinois</v>
      </c>
      <c r="Q2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67" s="15"/>
    </row>
    <row r="268" spans="1:18" x14ac:dyDescent="0.2">
      <c r="A268" s="1">
        <v>266</v>
      </c>
      <c r="B268" s="6" t="s">
        <v>556</v>
      </c>
      <c r="C268" t="s">
        <v>69</v>
      </c>
      <c r="D268" t="s">
        <v>20</v>
      </c>
      <c r="E268">
        <v>32</v>
      </c>
      <c r="F268" t="s">
        <v>15</v>
      </c>
      <c r="G268" t="s">
        <v>28</v>
      </c>
      <c r="H268" s="6" t="s">
        <v>557</v>
      </c>
      <c r="I268" s="11">
        <v>85512.05</v>
      </c>
      <c r="J268" t="s">
        <v>204</v>
      </c>
      <c r="K268">
        <v>-7416787255</v>
      </c>
      <c r="L268" t="s">
        <v>30</v>
      </c>
      <c r="M268" t="b">
        <v>0</v>
      </c>
      <c r="N268" s="17">
        <f t="shared" si="4"/>
        <v>44519</v>
      </c>
      <c r="O268" t="str">
        <f>LEFT(Table1[[#This Row],[Department_Region]], FIND("-", Table1[[#This Row],[Department_Region]]) - 1)</f>
        <v>DevOps</v>
      </c>
      <c r="P268" t="str">
        <f>RIGHT(Table1[[#This Row],[Department_Region]],LEN(Table1[[#This Row],[Department_Region]]) - FIND("-",Table1[[#This Row],[Department_Region]]))</f>
        <v>California</v>
      </c>
      <c r="Q2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8" s="15"/>
    </row>
    <row r="269" spans="1:18" x14ac:dyDescent="0.2">
      <c r="A269" s="1">
        <v>267</v>
      </c>
      <c r="B269" s="6" t="s">
        <v>558</v>
      </c>
      <c r="C269" t="s">
        <v>65</v>
      </c>
      <c r="D269" t="s">
        <v>43</v>
      </c>
      <c r="E269">
        <v>32</v>
      </c>
      <c r="F269" t="s">
        <v>215</v>
      </c>
      <c r="G269" t="s">
        <v>16</v>
      </c>
      <c r="H269" s="6" t="s">
        <v>559</v>
      </c>
      <c r="I269" s="11">
        <v>73186.77</v>
      </c>
      <c r="J269" t="s">
        <v>261</v>
      </c>
      <c r="K269">
        <v>-8621102257</v>
      </c>
      <c r="L269" t="s">
        <v>30</v>
      </c>
      <c r="M269" t="b">
        <v>0</v>
      </c>
      <c r="N269" s="17">
        <f t="shared" si="4"/>
        <v>44585</v>
      </c>
      <c r="O269" t="str">
        <f>LEFT(Table1[[#This Row],[Department_Region]], FIND("-", Table1[[#This Row],[Department_Region]]) - 1)</f>
        <v>HR</v>
      </c>
      <c r="P269" t="str">
        <f>RIGHT(Table1[[#This Row],[Department_Region]],LEN(Table1[[#This Row],[Department_Region]]) - FIND("-",Table1[[#This Row],[Department_Region]]))</f>
        <v>Florida</v>
      </c>
      <c r="Q2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69" s="15"/>
    </row>
    <row r="270" spans="1:18" x14ac:dyDescent="0.2">
      <c r="A270" s="1">
        <v>268</v>
      </c>
      <c r="B270" s="6" t="s">
        <v>560</v>
      </c>
      <c r="C270" t="s">
        <v>69</v>
      </c>
      <c r="D270" t="s">
        <v>14</v>
      </c>
      <c r="E270">
        <v>32</v>
      </c>
      <c r="F270" t="s">
        <v>151</v>
      </c>
      <c r="G270" t="s">
        <v>28</v>
      </c>
      <c r="H270" s="6" t="s">
        <v>1769</v>
      </c>
      <c r="I270" s="11">
        <v>51865.3</v>
      </c>
      <c r="J270" t="s">
        <v>239</v>
      </c>
      <c r="K270">
        <v>-305690673</v>
      </c>
      <c r="L270" t="s">
        <v>41</v>
      </c>
      <c r="M270" t="b">
        <v>1</v>
      </c>
      <c r="N270" s="17">
        <f t="shared" si="4"/>
        <v>45119</v>
      </c>
      <c r="O270" t="str">
        <f>LEFT(Table1[[#This Row],[Department_Region]], FIND("-", Table1[[#This Row],[Department_Region]]) - 1)</f>
        <v>HR</v>
      </c>
      <c r="P270" t="str">
        <f>RIGHT(Table1[[#This Row],[Department_Region]],LEN(Table1[[#This Row],[Department_Region]]) - FIND("-",Table1[[#This Row],[Department_Region]]))</f>
        <v>Nevada</v>
      </c>
      <c r="Q2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70" s="15"/>
    </row>
    <row r="271" spans="1:18" x14ac:dyDescent="0.2">
      <c r="A271" s="1">
        <v>269</v>
      </c>
      <c r="B271" s="6" t="s">
        <v>561</v>
      </c>
      <c r="C271" t="s">
        <v>59</v>
      </c>
      <c r="D271" t="s">
        <v>38</v>
      </c>
      <c r="E271">
        <v>25</v>
      </c>
      <c r="F271" t="s">
        <v>75</v>
      </c>
      <c r="G271" t="s">
        <v>16</v>
      </c>
      <c r="H271" s="6" t="s">
        <v>1770</v>
      </c>
      <c r="I271" s="11">
        <v>94031.77</v>
      </c>
      <c r="J271" t="s">
        <v>61</v>
      </c>
      <c r="K271">
        <v>-4716392822</v>
      </c>
      <c r="L271" t="s">
        <v>23</v>
      </c>
      <c r="M271" t="b">
        <v>1</v>
      </c>
      <c r="N271" s="17">
        <f t="shared" si="4"/>
        <v>44904</v>
      </c>
      <c r="O271" t="str">
        <f>LEFT(Table1[[#This Row],[Department_Region]], FIND("-", Table1[[#This Row],[Department_Region]]) - 1)</f>
        <v>Sales</v>
      </c>
      <c r="P271" t="str">
        <f>RIGHT(Table1[[#This Row],[Department_Region]],LEN(Table1[[#This Row],[Department_Region]]) - FIND("-",Table1[[#This Row],[Department_Region]]))</f>
        <v>Florida</v>
      </c>
      <c r="Q2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71" s="15"/>
    </row>
    <row r="272" spans="1:18" x14ac:dyDescent="0.2">
      <c r="A272" s="1">
        <v>270</v>
      </c>
      <c r="B272" s="6" t="s">
        <v>562</v>
      </c>
      <c r="C272" t="s">
        <v>69</v>
      </c>
      <c r="D272" t="s">
        <v>93</v>
      </c>
      <c r="E272">
        <v>30</v>
      </c>
      <c r="F272" t="s">
        <v>56</v>
      </c>
      <c r="G272" t="s">
        <v>16</v>
      </c>
      <c r="H272" s="6" t="s">
        <v>518</v>
      </c>
      <c r="I272" s="11">
        <v>116374.36</v>
      </c>
      <c r="J272" t="s">
        <v>170</v>
      </c>
      <c r="K272">
        <v>-4143637188</v>
      </c>
      <c r="L272" t="s">
        <v>23</v>
      </c>
      <c r="M272" t="b">
        <v>0</v>
      </c>
      <c r="N272" s="17">
        <f t="shared" si="4"/>
        <v>45003</v>
      </c>
      <c r="O272" t="str">
        <f>LEFT(Table1[[#This Row],[Department_Region]], FIND("-", Table1[[#This Row],[Department_Region]]) - 1)</f>
        <v>DevOps</v>
      </c>
      <c r="P272" t="str">
        <f>RIGHT(Table1[[#This Row],[Department_Region]],LEN(Table1[[#This Row],[Department_Region]]) - FIND("-",Table1[[#This Row],[Department_Region]]))</f>
        <v>New York</v>
      </c>
      <c r="Q2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72" s="15"/>
    </row>
    <row r="273" spans="1:18" x14ac:dyDescent="0.2">
      <c r="A273" s="1">
        <v>271</v>
      </c>
      <c r="B273" s="6" t="s">
        <v>563</v>
      </c>
      <c r="C273" t="s">
        <v>25</v>
      </c>
      <c r="D273" t="s">
        <v>43</v>
      </c>
      <c r="E273">
        <v>40</v>
      </c>
      <c r="F273" t="s">
        <v>215</v>
      </c>
      <c r="G273" t="s">
        <v>16</v>
      </c>
      <c r="H273" s="6" t="s">
        <v>564</v>
      </c>
      <c r="I273" s="11">
        <v>98335.02</v>
      </c>
      <c r="J273" t="s">
        <v>45</v>
      </c>
      <c r="K273">
        <v>-2392312603</v>
      </c>
      <c r="L273" t="s">
        <v>23</v>
      </c>
      <c r="M273" t="b">
        <v>0</v>
      </c>
      <c r="N273" s="17">
        <f t="shared" si="4"/>
        <v>44676</v>
      </c>
      <c r="O273" t="str">
        <f>LEFT(Table1[[#This Row],[Department_Region]], FIND("-", Table1[[#This Row],[Department_Region]]) - 1)</f>
        <v>HR</v>
      </c>
      <c r="P273" t="str">
        <f>RIGHT(Table1[[#This Row],[Department_Region]],LEN(Table1[[#This Row],[Department_Region]]) - FIND("-",Table1[[#This Row],[Department_Region]]))</f>
        <v>Florida</v>
      </c>
      <c r="Q2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73" s="15"/>
    </row>
    <row r="274" spans="1:18" x14ac:dyDescent="0.2">
      <c r="A274" s="1">
        <v>272</v>
      </c>
      <c r="B274" s="6" t="s">
        <v>565</v>
      </c>
      <c r="C274" t="s">
        <v>65</v>
      </c>
      <c r="D274" t="s">
        <v>43</v>
      </c>
      <c r="E274">
        <v>25</v>
      </c>
      <c r="F274" t="s">
        <v>56</v>
      </c>
      <c r="G274" t="s">
        <v>28</v>
      </c>
      <c r="H274" s="6" t="s">
        <v>566</v>
      </c>
      <c r="I274" s="11">
        <v>89262.07</v>
      </c>
      <c r="J274" t="s">
        <v>261</v>
      </c>
      <c r="K274">
        <v>-3260931065</v>
      </c>
      <c r="L274" t="s">
        <v>41</v>
      </c>
      <c r="M274" t="b">
        <v>1</v>
      </c>
      <c r="N274" s="17">
        <f t="shared" si="4"/>
        <v>44255</v>
      </c>
      <c r="O274" t="str">
        <f>LEFT(Table1[[#This Row],[Department_Region]], FIND("-", Table1[[#This Row],[Department_Region]]) - 1)</f>
        <v>DevOps</v>
      </c>
      <c r="P274" t="str">
        <f>RIGHT(Table1[[#This Row],[Department_Region]],LEN(Table1[[#This Row],[Department_Region]]) - FIND("-",Table1[[#This Row],[Department_Region]]))</f>
        <v>New York</v>
      </c>
      <c r="Q2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74" s="15"/>
    </row>
    <row r="275" spans="1:18" x14ac:dyDescent="0.2">
      <c r="A275" s="1">
        <v>273</v>
      </c>
      <c r="B275" s="6" t="s">
        <v>567</v>
      </c>
      <c r="C275" t="s">
        <v>65</v>
      </c>
      <c r="D275" t="s">
        <v>43</v>
      </c>
      <c r="E275">
        <v>32</v>
      </c>
      <c r="F275" t="s">
        <v>70</v>
      </c>
      <c r="G275" t="s">
        <v>16</v>
      </c>
      <c r="H275" s="6" t="s">
        <v>568</v>
      </c>
      <c r="I275" s="11">
        <v>113848.69</v>
      </c>
      <c r="J275" t="s">
        <v>261</v>
      </c>
      <c r="K275">
        <v>-8433567085</v>
      </c>
      <c r="L275" t="s">
        <v>23</v>
      </c>
      <c r="M275" t="b">
        <v>1</v>
      </c>
      <c r="N275" s="17">
        <f t="shared" si="4"/>
        <v>44772</v>
      </c>
      <c r="O275" t="str">
        <f>LEFT(Table1[[#This Row],[Department_Region]], FIND("-", Table1[[#This Row],[Department_Region]]) - 1)</f>
        <v>Finance</v>
      </c>
      <c r="P275" t="str">
        <f>RIGHT(Table1[[#This Row],[Department_Region]],LEN(Table1[[#This Row],[Department_Region]]) - FIND("-",Table1[[#This Row],[Department_Region]]))</f>
        <v>California</v>
      </c>
      <c r="Q2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75" s="15"/>
    </row>
    <row r="276" spans="1:18" x14ac:dyDescent="0.2">
      <c r="A276" s="1">
        <v>274</v>
      </c>
      <c r="B276" s="6" t="s">
        <v>569</v>
      </c>
      <c r="C276" t="s">
        <v>37</v>
      </c>
      <c r="D276" t="s">
        <v>124</v>
      </c>
      <c r="E276">
        <v>35</v>
      </c>
      <c r="F276" t="s">
        <v>75</v>
      </c>
      <c r="G276" t="s">
        <v>16</v>
      </c>
      <c r="H276" s="6" t="s">
        <v>570</v>
      </c>
      <c r="I276" s="11">
        <v>69530.45</v>
      </c>
      <c r="J276" t="s">
        <v>139</v>
      </c>
      <c r="K276">
        <v>-414545634</v>
      </c>
      <c r="L276" t="s">
        <v>41</v>
      </c>
      <c r="M276" t="b">
        <v>1</v>
      </c>
      <c r="N276" s="17">
        <f t="shared" si="4"/>
        <v>44335</v>
      </c>
      <c r="O276" t="str">
        <f>LEFT(Table1[[#This Row],[Department_Region]], FIND("-", Table1[[#This Row],[Department_Region]]) - 1)</f>
        <v>Sales</v>
      </c>
      <c r="P276" t="str">
        <f>RIGHT(Table1[[#This Row],[Department_Region]],LEN(Table1[[#This Row],[Department_Region]]) - FIND("-",Table1[[#This Row],[Department_Region]]))</f>
        <v>Florida</v>
      </c>
      <c r="Q2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76" s="15"/>
    </row>
    <row r="277" spans="1:18" x14ac:dyDescent="0.2">
      <c r="A277" s="1">
        <v>275</v>
      </c>
      <c r="B277" s="6" t="s">
        <v>571</v>
      </c>
      <c r="C277" t="s">
        <v>32</v>
      </c>
      <c r="D277" t="s">
        <v>20</v>
      </c>
      <c r="E277">
        <v>35</v>
      </c>
      <c r="F277" t="s">
        <v>56</v>
      </c>
      <c r="G277" t="s">
        <v>28</v>
      </c>
      <c r="H277" s="6" t="s">
        <v>572</v>
      </c>
      <c r="I277" s="11">
        <v>84230.22</v>
      </c>
      <c r="J277" t="s">
        <v>157</v>
      </c>
      <c r="K277">
        <v>-200053473</v>
      </c>
      <c r="L277" t="s">
        <v>30</v>
      </c>
      <c r="M277" t="b">
        <v>1</v>
      </c>
      <c r="N277" s="17">
        <f t="shared" si="4"/>
        <v>45274</v>
      </c>
      <c r="O277" t="str">
        <f>LEFT(Table1[[#This Row],[Department_Region]], FIND("-", Table1[[#This Row],[Department_Region]]) - 1)</f>
        <v>DevOps</v>
      </c>
      <c r="P277" t="str">
        <f>RIGHT(Table1[[#This Row],[Department_Region]],LEN(Table1[[#This Row],[Department_Region]]) - FIND("-",Table1[[#This Row],[Department_Region]]))</f>
        <v>New York</v>
      </c>
      <c r="Q2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77" s="15"/>
    </row>
    <row r="278" spans="1:18" x14ac:dyDescent="0.2">
      <c r="A278" s="1">
        <v>276</v>
      </c>
      <c r="B278" s="6" t="s">
        <v>573</v>
      </c>
      <c r="C278" t="s">
        <v>32</v>
      </c>
      <c r="D278" t="s">
        <v>124</v>
      </c>
      <c r="E278">
        <v>35</v>
      </c>
      <c r="F278" t="s">
        <v>96</v>
      </c>
      <c r="G278" t="s">
        <v>28</v>
      </c>
      <c r="H278" s="6" t="s">
        <v>574</v>
      </c>
      <c r="I278" s="11">
        <v>76578.59</v>
      </c>
      <c r="J278" t="s">
        <v>529</v>
      </c>
      <c r="K278">
        <v>-9162475540</v>
      </c>
      <c r="L278" t="s">
        <v>18</v>
      </c>
      <c r="M278" t="b">
        <v>0</v>
      </c>
      <c r="N278" s="17">
        <f t="shared" si="4"/>
        <v>44943</v>
      </c>
      <c r="O278" t="str">
        <f>LEFT(Table1[[#This Row],[Department_Region]], FIND("-", Table1[[#This Row],[Department_Region]]) - 1)</f>
        <v>Cloud Tech</v>
      </c>
      <c r="P278" t="str">
        <f>RIGHT(Table1[[#This Row],[Department_Region]],LEN(Table1[[#This Row],[Department_Region]]) - FIND("-",Table1[[#This Row],[Department_Region]]))</f>
        <v>Illinois</v>
      </c>
      <c r="Q2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78" s="15"/>
    </row>
    <row r="279" spans="1:18" x14ac:dyDescent="0.2">
      <c r="A279" s="1">
        <v>277</v>
      </c>
      <c r="B279" s="6" t="s">
        <v>575</v>
      </c>
      <c r="C279" t="s">
        <v>37</v>
      </c>
      <c r="D279" t="s">
        <v>93</v>
      </c>
      <c r="E279">
        <v>30</v>
      </c>
      <c r="F279" t="s">
        <v>141</v>
      </c>
      <c r="G279" t="s">
        <v>33</v>
      </c>
      <c r="H279" s="6" t="s">
        <v>1771</v>
      </c>
      <c r="I279" s="11">
        <v>55532.06</v>
      </c>
      <c r="J279" t="s">
        <v>111</v>
      </c>
      <c r="K279">
        <v>-1082555988</v>
      </c>
      <c r="L279" t="s">
        <v>23</v>
      </c>
      <c r="M279" t="b">
        <v>1</v>
      </c>
      <c r="N279" s="17">
        <f t="shared" si="4"/>
        <v>45293</v>
      </c>
      <c r="O279" t="str">
        <f>LEFT(Table1[[#This Row],[Department_Region]], FIND("-", Table1[[#This Row],[Department_Region]]) - 1)</f>
        <v>HR</v>
      </c>
      <c r="P279" t="str">
        <f>RIGHT(Table1[[#This Row],[Department_Region]],LEN(Table1[[#This Row],[Department_Region]]) - FIND("-",Table1[[#This Row],[Department_Region]]))</f>
        <v>Texas</v>
      </c>
      <c r="Q2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79" s="15"/>
    </row>
    <row r="280" spans="1:18" x14ac:dyDescent="0.2">
      <c r="A280" s="1">
        <v>278</v>
      </c>
      <c r="B280" s="6" t="s">
        <v>576</v>
      </c>
      <c r="C280" t="s">
        <v>32</v>
      </c>
      <c r="D280" t="s">
        <v>124</v>
      </c>
      <c r="E280">
        <v>40</v>
      </c>
      <c r="F280" t="s">
        <v>199</v>
      </c>
      <c r="G280" t="s">
        <v>28</v>
      </c>
      <c r="H280" s="6" t="s">
        <v>1772</v>
      </c>
      <c r="I280" s="11">
        <v>115311.67999999999</v>
      </c>
      <c r="J280" t="s">
        <v>529</v>
      </c>
      <c r="K280">
        <v>-5343961128</v>
      </c>
      <c r="L280" t="s">
        <v>23</v>
      </c>
      <c r="M280" t="b">
        <v>1</v>
      </c>
      <c r="N280" s="17">
        <f t="shared" si="4"/>
        <v>44386</v>
      </c>
      <c r="O280" t="str">
        <f>LEFT(Table1[[#This Row],[Department_Region]], FIND("-", Table1[[#This Row],[Department_Region]]) - 1)</f>
        <v>Admin</v>
      </c>
      <c r="P280" t="str">
        <f>RIGHT(Table1[[#This Row],[Department_Region]],LEN(Table1[[#This Row],[Department_Region]]) - FIND("-",Table1[[#This Row],[Department_Region]]))</f>
        <v>New York</v>
      </c>
      <c r="Q2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80" s="15"/>
    </row>
    <row r="281" spans="1:18" x14ac:dyDescent="0.2">
      <c r="A281" s="1">
        <v>279</v>
      </c>
      <c r="B281" s="6" t="s">
        <v>577</v>
      </c>
      <c r="C281" t="s">
        <v>54</v>
      </c>
      <c r="D281" t="s">
        <v>55</v>
      </c>
      <c r="E281">
        <v>25</v>
      </c>
      <c r="F281" t="s">
        <v>222</v>
      </c>
      <c r="G281" t="s">
        <v>28</v>
      </c>
      <c r="H281" s="6" t="s">
        <v>1773</v>
      </c>
      <c r="I281" s="11">
        <v>66972.06</v>
      </c>
      <c r="J281" t="s">
        <v>57</v>
      </c>
      <c r="K281">
        <v>-1093371188</v>
      </c>
      <c r="L281" t="s">
        <v>30</v>
      </c>
      <c r="M281" t="b">
        <v>1</v>
      </c>
      <c r="N281" s="17">
        <f t="shared" si="4"/>
        <v>44321</v>
      </c>
      <c r="O281" t="str">
        <f>LEFT(Table1[[#This Row],[Department_Region]], FIND("-", Table1[[#This Row],[Department_Region]]) - 1)</f>
        <v>Sales</v>
      </c>
      <c r="P281" t="str">
        <f>RIGHT(Table1[[#This Row],[Department_Region]],LEN(Table1[[#This Row],[Department_Region]]) - FIND("-",Table1[[#This Row],[Department_Region]]))</f>
        <v>Nevada</v>
      </c>
      <c r="Q2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81" s="15"/>
    </row>
    <row r="282" spans="1:18" x14ac:dyDescent="0.2">
      <c r="A282" s="1">
        <v>280</v>
      </c>
      <c r="B282" s="6" t="s">
        <v>578</v>
      </c>
      <c r="C282" t="s">
        <v>59</v>
      </c>
      <c r="D282" t="s">
        <v>20</v>
      </c>
      <c r="E282">
        <v>30</v>
      </c>
      <c r="F282" t="s">
        <v>161</v>
      </c>
      <c r="G282" t="s">
        <v>33</v>
      </c>
      <c r="H282" s="6" t="s">
        <v>1700</v>
      </c>
      <c r="I282" s="11">
        <v>100215.06</v>
      </c>
      <c r="J282" t="s">
        <v>228</v>
      </c>
      <c r="K282">
        <v>-5473820235</v>
      </c>
      <c r="L282" t="s">
        <v>18</v>
      </c>
      <c r="M282" t="b">
        <v>1</v>
      </c>
      <c r="N282" s="17">
        <f t="shared" si="4"/>
        <v>44507</v>
      </c>
      <c r="O282" t="str">
        <f>LEFT(Table1[[#This Row],[Department_Region]], FIND("-", Table1[[#This Row],[Department_Region]]) - 1)</f>
        <v>Cloud Tech</v>
      </c>
      <c r="P282" t="str">
        <f>RIGHT(Table1[[#This Row],[Department_Region]],LEN(Table1[[#This Row],[Department_Region]]) - FIND("-",Table1[[#This Row],[Department_Region]]))</f>
        <v>Texas</v>
      </c>
      <c r="Q2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82" s="15"/>
    </row>
    <row r="283" spans="1:18" x14ac:dyDescent="0.2">
      <c r="A283" s="1">
        <v>281</v>
      </c>
      <c r="B283" s="6" t="s">
        <v>579</v>
      </c>
      <c r="C283" t="s">
        <v>54</v>
      </c>
      <c r="D283" t="s">
        <v>20</v>
      </c>
      <c r="E283">
        <v>25</v>
      </c>
      <c r="F283" t="s">
        <v>110</v>
      </c>
      <c r="G283" t="s">
        <v>33</v>
      </c>
      <c r="H283" s="6" t="s">
        <v>580</v>
      </c>
      <c r="I283" s="11">
        <v>115452.25</v>
      </c>
      <c r="J283" t="s">
        <v>127</v>
      </c>
      <c r="K283">
        <v>-8485571616</v>
      </c>
      <c r="L283" t="s">
        <v>41</v>
      </c>
      <c r="M283" t="b">
        <v>0</v>
      </c>
      <c r="N283" s="17">
        <f t="shared" si="4"/>
        <v>45168</v>
      </c>
      <c r="O283" t="str">
        <f>LEFT(Table1[[#This Row],[Department_Region]], FIND("-", Table1[[#This Row],[Department_Region]]) - 1)</f>
        <v>Sales</v>
      </c>
      <c r="P283" t="str">
        <f>RIGHT(Table1[[#This Row],[Department_Region]],LEN(Table1[[#This Row],[Department_Region]]) - FIND("-",Table1[[#This Row],[Department_Region]]))</f>
        <v>New York</v>
      </c>
      <c r="Q2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83" s="15"/>
    </row>
    <row r="284" spans="1:18" x14ac:dyDescent="0.2">
      <c r="A284" s="1">
        <v>282</v>
      </c>
      <c r="B284" s="6" t="s">
        <v>581</v>
      </c>
      <c r="C284" t="s">
        <v>65</v>
      </c>
      <c r="D284" t="s">
        <v>93</v>
      </c>
      <c r="E284">
        <v>30</v>
      </c>
      <c r="F284" t="s">
        <v>148</v>
      </c>
      <c r="G284" t="s">
        <v>33</v>
      </c>
      <c r="H284" s="6" t="s">
        <v>582</v>
      </c>
      <c r="I284" s="11">
        <v>54141.38</v>
      </c>
      <c r="J284" t="s">
        <v>132</v>
      </c>
      <c r="K284">
        <v>-6880294239</v>
      </c>
      <c r="L284" t="s">
        <v>18</v>
      </c>
      <c r="M284" t="b">
        <v>0</v>
      </c>
      <c r="N284" s="17">
        <f t="shared" si="4"/>
        <v>45153</v>
      </c>
      <c r="O284" t="str">
        <f>LEFT(Table1[[#This Row],[Department_Region]], FIND("-", Table1[[#This Row],[Department_Region]]) - 1)</f>
        <v>HR</v>
      </c>
      <c r="P284" t="str">
        <f>RIGHT(Table1[[#This Row],[Department_Region]],LEN(Table1[[#This Row],[Department_Region]]) - FIND("-",Table1[[#This Row],[Department_Region]]))</f>
        <v>California</v>
      </c>
      <c r="Q2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84" s="15"/>
    </row>
    <row r="285" spans="1:18" x14ac:dyDescent="0.2">
      <c r="A285" s="1">
        <v>283</v>
      </c>
      <c r="B285" s="6" t="s">
        <v>583</v>
      </c>
      <c r="C285" t="s">
        <v>59</v>
      </c>
      <c r="D285" t="s">
        <v>14</v>
      </c>
      <c r="E285">
        <v>32</v>
      </c>
      <c r="F285" t="s">
        <v>333</v>
      </c>
      <c r="G285" t="s">
        <v>16</v>
      </c>
      <c r="H285" s="6" t="s">
        <v>584</v>
      </c>
      <c r="I285" s="11">
        <v>79251.95</v>
      </c>
      <c r="J285" t="s">
        <v>63</v>
      </c>
      <c r="K285">
        <v>-9036788126</v>
      </c>
      <c r="L285" t="s">
        <v>30</v>
      </c>
      <c r="M285" t="b">
        <v>0</v>
      </c>
      <c r="N285" s="17">
        <f t="shared" si="4"/>
        <v>44189</v>
      </c>
      <c r="O285" t="str">
        <f>LEFT(Table1[[#This Row],[Department_Region]], FIND("-", Table1[[#This Row],[Department_Region]]) - 1)</f>
        <v>DevOps</v>
      </c>
      <c r="P285" t="str">
        <f>RIGHT(Table1[[#This Row],[Department_Region]],LEN(Table1[[#This Row],[Department_Region]]) - FIND("-",Table1[[#This Row],[Department_Region]]))</f>
        <v>Nevada</v>
      </c>
      <c r="Q2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85" s="15"/>
    </row>
    <row r="286" spans="1:18" x14ac:dyDescent="0.2">
      <c r="A286" s="1">
        <v>284</v>
      </c>
      <c r="B286" s="6" t="s">
        <v>585</v>
      </c>
      <c r="C286" t="s">
        <v>25</v>
      </c>
      <c r="D286" t="s">
        <v>55</v>
      </c>
      <c r="E286">
        <v>40</v>
      </c>
      <c r="F286" t="s">
        <v>230</v>
      </c>
      <c r="G286" t="s">
        <v>28</v>
      </c>
      <c r="H286" s="6" t="s">
        <v>586</v>
      </c>
      <c r="I286" s="11">
        <v>114822.78</v>
      </c>
      <c r="J286" t="s">
        <v>152</v>
      </c>
      <c r="K286">
        <v>-8686694319</v>
      </c>
      <c r="L286" t="s">
        <v>30</v>
      </c>
      <c r="M286" t="b">
        <v>1</v>
      </c>
      <c r="N286" s="17">
        <f t="shared" si="4"/>
        <v>45617</v>
      </c>
      <c r="O286" t="str">
        <f>LEFT(Table1[[#This Row],[Department_Region]], FIND("-", Table1[[#This Row],[Department_Region]]) - 1)</f>
        <v>Finance</v>
      </c>
      <c r="P286" t="str">
        <f>RIGHT(Table1[[#This Row],[Department_Region]],LEN(Table1[[#This Row],[Department_Region]]) - FIND("-",Table1[[#This Row],[Department_Region]]))</f>
        <v>New York</v>
      </c>
      <c r="Q2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86" s="15"/>
    </row>
    <row r="287" spans="1:18" x14ac:dyDescent="0.2">
      <c r="A287" s="1">
        <v>285</v>
      </c>
      <c r="B287" s="6" t="s">
        <v>587</v>
      </c>
      <c r="C287" t="s">
        <v>25</v>
      </c>
      <c r="D287" t="s">
        <v>38</v>
      </c>
      <c r="E287">
        <v>35</v>
      </c>
      <c r="F287" t="s">
        <v>99</v>
      </c>
      <c r="G287" t="s">
        <v>16</v>
      </c>
      <c r="H287" s="6" t="s">
        <v>588</v>
      </c>
      <c r="I287" s="11">
        <v>69919.320000000007</v>
      </c>
      <c r="J287" t="s">
        <v>368</v>
      </c>
      <c r="K287">
        <v>-2939087883</v>
      </c>
      <c r="L287" t="s">
        <v>18</v>
      </c>
      <c r="M287" t="b">
        <v>1</v>
      </c>
      <c r="N287" s="17">
        <f t="shared" si="4"/>
        <v>44517</v>
      </c>
      <c r="O287" t="str">
        <f>LEFT(Table1[[#This Row],[Department_Region]], FIND("-", Table1[[#This Row],[Department_Region]]) - 1)</f>
        <v>Sales</v>
      </c>
      <c r="P287" t="str">
        <f>RIGHT(Table1[[#This Row],[Department_Region]],LEN(Table1[[#This Row],[Department_Region]]) - FIND("-",Table1[[#This Row],[Department_Region]]))</f>
        <v>Illinois</v>
      </c>
      <c r="Q2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87" s="15"/>
    </row>
    <row r="288" spans="1:18" x14ac:dyDescent="0.2">
      <c r="A288" s="1">
        <v>286</v>
      </c>
      <c r="B288" s="6" t="s">
        <v>589</v>
      </c>
      <c r="C288" t="s">
        <v>65</v>
      </c>
      <c r="D288" t="s">
        <v>124</v>
      </c>
      <c r="E288">
        <v>30</v>
      </c>
      <c r="F288" t="s">
        <v>75</v>
      </c>
      <c r="G288" t="s">
        <v>33</v>
      </c>
      <c r="H288" s="6" t="s">
        <v>590</v>
      </c>
      <c r="I288" s="11">
        <v>106616.97</v>
      </c>
      <c r="J288" t="s">
        <v>372</v>
      </c>
      <c r="K288">
        <v>-4344812307</v>
      </c>
      <c r="L288" t="s">
        <v>41</v>
      </c>
      <c r="M288" t="b">
        <v>0</v>
      </c>
      <c r="N288" s="17">
        <f t="shared" si="4"/>
        <v>44225</v>
      </c>
      <c r="O288" t="str">
        <f>LEFT(Table1[[#This Row],[Department_Region]], FIND("-", Table1[[#This Row],[Department_Region]]) - 1)</f>
        <v>Sales</v>
      </c>
      <c r="P288" t="str">
        <f>RIGHT(Table1[[#This Row],[Department_Region]],LEN(Table1[[#This Row],[Department_Region]]) - FIND("-",Table1[[#This Row],[Department_Region]]))</f>
        <v>Florida</v>
      </c>
      <c r="Q2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88" s="15"/>
    </row>
    <row r="289" spans="1:18" x14ac:dyDescent="0.2">
      <c r="A289" s="1">
        <v>287</v>
      </c>
      <c r="B289" s="6" t="s">
        <v>591</v>
      </c>
      <c r="C289" t="s">
        <v>65</v>
      </c>
      <c r="D289" t="s">
        <v>26</v>
      </c>
      <c r="E289">
        <v>35</v>
      </c>
      <c r="F289" t="s">
        <v>56</v>
      </c>
      <c r="G289" t="s">
        <v>16</v>
      </c>
      <c r="H289" s="6" t="s">
        <v>592</v>
      </c>
      <c r="I289" s="11">
        <v>73597.850000000006</v>
      </c>
      <c r="J289" t="s">
        <v>324</v>
      </c>
      <c r="K289">
        <v>-3402424032</v>
      </c>
      <c r="L289" t="s">
        <v>41</v>
      </c>
      <c r="M289" t="b">
        <v>1</v>
      </c>
      <c r="N289" s="17">
        <f t="shared" si="4"/>
        <v>45339</v>
      </c>
      <c r="O289" t="str">
        <f>LEFT(Table1[[#This Row],[Department_Region]], FIND("-", Table1[[#This Row],[Department_Region]]) - 1)</f>
        <v>DevOps</v>
      </c>
      <c r="P289" t="str">
        <f>RIGHT(Table1[[#This Row],[Department_Region]],LEN(Table1[[#This Row],[Department_Region]]) - FIND("-",Table1[[#This Row],[Department_Region]]))</f>
        <v>New York</v>
      </c>
      <c r="Q2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89" s="15"/>
    </row>
    <row r="290" spans="1:18" x14ac:dyDescent="0.2">
      <c r="A290" s="1">
        <v>288</v>
      </c>
      <c r="B290" s="6" t="s">
        <v>593</v>
      </c>
      <c r="C290" t="s">
        <v>59</v>
      </c>
      <c r="D290" t="s">
        <v>124</v>
      </c>
      <c r="E290">
        <v>30</v>
      </c>
      <c r="F290" t="s">
        <v>222</v>
      </c>
      <c r="G290" t="s">
        <v>33</v>
      </c>
      <c r="H290" s="6" t="s">
        <v>594</v>
      </c>
      <c r="I290" s="11">
        <v>79939.23</v>
      </c>
      <c r="J290" t="s">
        <v>346</v>
      </c>
      <c r="K290">
        <v>-8105955183</v>
      </c>
      <c r="L290" t="s">
        <v>23</v>
      </c>
      <c r="M290" t="b">
        <v>1</v>
      </c>
      <c r="N290" s="17">
        <f t="shared" si="4"/>
        <v>45524</v>
      </c>
      <c r="O290" t="str">
        <f>LEFT(Table1[[#This Row],[Department_Region]], FIND("-", Table1[[#This Row],[Department_Region]]) - 1)</f>
        <v>Sales</v>
      </c>
      <c r="P290" t="str">
        <f>RIGHT(Table1[[#This Row],[Department_Region]],LEN(Table1[[#This Row],[Department_Region]]) - FIND("-",Table1[[#This Row],[Department_Region]]))</f>
        <v>Nevada</v>
      </c>
      <c r="Q2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90" s="15"/>
    </row>
    <row r="291" spans="1:18" x14ac:dyDescent="0.2">
      <c r="A291" s="1">
        <v>289</v>
      </c>
      <c r="B291" s="6" t="s">
        <v>595</v>
      </c>
      <c r="C291" t="s">
        <v>69</v>
      </c>
      <c r="D291" t="s">
        <v>43</v>
      </c>
      <c r="E291">
        <v>25</v>
      </c>
      <c r="F291" t="s">
        <v>199</v>
      </c>
      <c r="G291" t="s">
        <v>33</v>
      </c>
      <c r="H291" s="6" t="s">
        <v>596</v>
      </c>
      <c r="I291" s="11">
        <v>85165.05</v>
      </c>
      <c r="J291" t="s">
        <v>84</v>
      </c>
      <c r="K291">
        <v>-2694500533</v>
      </c>
      <c r="L291" t="s">
        <v>41</v>
      </c>
      <c r="M291" t="b">
        <v>0</v>
      </c>
      <c r="N291" s="17">
        <f t="shared" si="4"/>
        <v>44493</v>
      </c>
      <c r="O291" t="str">
        <f>LEFT(Table1[[#This Row],[Department_Region]], FIND("-", Table1[[#This Row],[Department_Region]]) - 1)</f>
        <v>Admin</v>
      </c>
      <c r="P291" t="str">
        <f>RIGHT(Table1[[#This Row],[Department_Region]],LEN(Table1[[#This Row],[Department_Region]]) - FIND("-",Table1[[#This Row],[Department_Region]]))</f>
        <v>New York</v>
      </c>
      <c r="Q2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291" s="15"/>
    </row>
    <row r="292" spans="1:18" x14ac:dyDescent="0.2">
      <c r="A292" s="1">
        <v>290</v>
      </c>
      <c r="B292" s="6" t="s">
        <v>597</v>
      </c>
      <c r="C292" t="s">
        <v>69</v>
      </c>
      <c r="D292" t="s">
        <v>124</v>
      </c>
      <c r="E292">
        <v>30</v>
      </c>
      <c r="F292" t="s">
        <v>70</v>
      </c>
      <c r="G292" t="s">
        <v>33</v>
      </c>
      <c r="H292" s="6" t="s">
        <v>1774</v>
      </c>
      <c r="I292" s="11">
        <v>90772.25</v>
      </c>
      <c r="J292" t="s">
        <v>137</v>
      </c>
      <c r="K292">
        <v>-2408916497</v>
      </c>
      <c r="L292" t="s">
        <v>18</v>
      </c>
      <c r="M292" t="b">
        <v>0</v>
      </c>
      <c r="N292" s="17">
        <f t="shared" si="4"/>
        <v>44449</v>
      </c>
      <c r="O292" t="str">
        <f>LEFT(Table1[[#This Row],[Department_Region]], FIND("-", Table1[[#This Row],[Department_Region]]) - 1)</f>
        <v>Finance</v>
      </c>
      <c r="P292" t="str">
        <f>RIGHT(Table1[[#This Row],[Department_Region]],LEN(Table1[[#This Row],[Department_Region]]) - FIND("-",Table1[[#This Row],[Department_Region]]))</f>
        <v>California</v>
      </c>
      <c r="Q2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92" s="15"/>
    </row>
    <row r="293" spans="1:18" x14ac:dyDescent="0.2">
      <c r="A293" s="1">
        <v>291</v>
      </c>
      <c r="B293" s="6" t="s">
        <v>598</v>
      </c>
      <c r="C293" t="s">
        <v>32</v>
      </c>
      <c r="D293" t="s">
        <v>38</v>
      </c>
      <c r="E293">
        <v>35</v>
      </c>
      <c r="F293" t="s">
        <v>56</v>
      </c>
      <c r="G293" t="s">
        <v>16</v>
      </c>
      <c r="H293" s="6" t="s">
        <v>599</v>
      </c>
      <c r="I293" s="11">
        <v>58275.74</v>
      </c>
      <c r="J293" t="s">
        <v>143</v>
      </c>
      <c r="K293">
        <v>-3735439626</v>
      </c>
      <c r="L293" t="s">
        <v>30</v>
      </c>
      <c r="M293" t="b">
        <v>0</v>
      </c>
      <c r="N293" s="17">
        <f t="shared" si="4"/>
        <v>45198</v>
      </c>
      <c r="O293" t="str">
        <f>LEFT(Table1[[#This Row],[Department_Region]], FIND("-", Table1[[#This Row],[Department_Region]]) - 1)</f>
        <v>DevOps</v>
      </c>
      <c r="P293" t="str">
        <f>RIGHT(Table1[[#This Row],[Department_Region]],LEN(Table1[[#This Row],[Department_Region]]) - FIND("-",Table1[[#This Row],[Department_Region]]))</f>
        <v>New York</v>
      </c>
      <c r="Q2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93" s="15"/>
    </row>
    <row r="294" spans="1:18" x14ac:dyDescent="0.2">
      <c r="A294" s="1">
        <v>292</v>
      </c>
      <c r="B294" s="6" t="s">
        <v>600</v>
      </c>
      <c r="C294" t="s">
        <v>69</v>
      </c>
      <c r="D294" t="s">
        <v>124</v>
      </c>
      <c r="E294">
        <v>32</v>
      </c>
      <c r="F294" t="s">
        <v>15</v>
      </c>
      <c r="G294" t="s">
        <v>28</v>
      </c>
      <c r="H294" s="6" t="s">
        <v>321</v>
      </c>
      <c r="I294" s="11">
        <v>94709.79</v>
      </c>
      <c r="J294" t="s">
        <v>137</v>
      </c>
      <c r="K294">
        <v>-3652717271</v>
      </c>
      <c r="L294" t="s">
        <v>23</v>
      </c>
      <c r="M294" t="b">
        <v>0</v>
      </c>
      <c r="N294" s="17">
        <f t="shared" si="4"/>
        <v>44071</v>
      </c>
      <c r="O294" t="str">
        <f>LEFT(Table1[[#This Row],[Department_Region]], FIND("-", Table1[[#This Row],[Department_Region]]) - 1)</f>
        <v>DevOps</v>
      </c>
      <c r="P294" t="str">
        <f>RIGHT(Table1[[#This Row],[Department_Region]],LEN(Table1[[#This Row],[Department_Region]]) - FIND("-",Table1[[#This Row],[Department_Region]]))</f>
        <v>California</v>
      </c>
      <c r="Q2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94" s="15"/>
    </row>
    <row r="295" spans="1:18" x14ac:dyDescent="0.2">
      <c r="A295" s="1">
        <v>293</v>
      </c>
      <c r="B295" s="6" t="s">
        <v>601</v>
      </c>
      <c r="C295" t="s">
        <v>37</v>
      </c>
      <c r="D295" t="s">
        <v>55</v>
      </c>
      <c r="E295">
        <v>32</v>
      </c>
      <c r="F295" t="s">
        <v>199</v>
      </c>
      <c r="G295" t="s">
        <v>16</v>
      </c>
      <c r="H295" s="6" t="s">
        <v>1775</v>
      </c>
      <c r="I295" s="11">
        <v>60722.99</v>
      </c>
      <c r="J295" t="s">
        <v>275</v>
      </c>
      <c r="K295">
        <v>-2397240421</v>
      </c>
      <c r="L295" t="s">
        <v>23</v>
      </c>
      <c r="M295" t="b">
        <v>1</v>
      </c>
      <c r="N295" s="17">
        <f t="shared" si="4"/>
        <v>44810</v>
      </c>
      <c r="O295" t="str">
        <f>LEFT(Table1[[#This Row],[Department_Region]], FIND("-", Table1[[#This Row],[Department_Region]]) - 1)</f>
        <v>Admin</v>
      </c>
      <c r="P295" t="str">
        <f>RIGHT(Table1[[#This Row],[Department_Region]],LEN(Table1[[#This Row],[Department_Region]]) - FIND("-",Table1[[#This Row],[Department_Region]]))</f>
        <v>New York</v>
      </c>
      <c r="Q2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95" s="15"/>
    </row>
    <row r="296" spans="1:18" x14ac:dyDescent="0.2">
      <c r="A296" s="1">
        <v>294</v>
      </c>
      <c r="B296" s="6" t="s">
        <v>602</v>
      </c>
      <c r="C296" t="s">
        <v>37</v>
      </c>
      <c r="D296" t="s">
        <v>55</v>
      </c>
      <c r="E296">
        <v>40</v>
      </c>
      <c r="F296" t="s">
        <v>79</v>
      </c>
      <c r="G296" t="s">
        <v>33</v>
      </c>
      <c r="H296" s="6" t="s">
        <v>603</v>
      </c>
      <c r="I296" s="11">
        <v>87626.240000000005</v>
      </c>
      <c r="J296" t="s">
        <v>275</v>
      </c>
      <c r="K296">
        <v>-6931216375</v>
      </c>
      <c r="L296" t="s">
        <v>30</v>
      </c>
      <c r="M296" t="b">
        <v>1</v>
      </c>
      <c r="N296" s="17">
        <f t="shared" si="4"/>
        <v>45382</v>
      </c>
      <c r="O296" t="str">
        <f>LEFT(Table1[[#This Row],[Department_Region]], FIND("-", Table1[[#This Row],[Department_Region]]) - 1)</f>
        <v>DevOps</v>
      </c>
      <c r="P296" t="str">
        <f>RIGHT(Table1[[#This Row],[Department_Region]],LEN(Table1[[#This Row],[Department_Region]]) - FIND("-",Table1[[#This Row],[Department_Region]]))</f>
        <v>Illinois</v>
      </c>
      <c r="Q2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96" s="15"/>
    </row>
    <row r="297" spans="1:18" x14ac:dyDescent="0.2">
      <c r="A297" s="1">
        <v>295</v>
      </c>
      <c r="B297" s="6" t="s">
        <v>604</v>
      </c>
      <c r="C297" t="s">
        <v>59</v>
      </c>
      <c r="D297" t="s">
        <v>20</v>
      </c>
      <c r="E297">
        <v>30</v>
      </c>
      <c r="F297" t="s">
        <v>79</v>
      </c>
      <c r="G297" t="s">
        <v>16</v>
      </c>
      <c r="H297" s="6" t="s">
        <v>605</v>
      </c>
      <c r="I297" s="11">
        <v>81272.36</v>
      </c>
      <c r="J297" t="s">
        <v>228</v>
      </c>
      <c r="K297">
        <v>-1820916600</v>
      </c>
      <c r="L297" t="s">
        <v>41</v>
      </c>
      <c r="M297" t="b">
        <v>0</v>
      </c>
      <c r="N297" s="17">
        <f t="shared" si="4"/>
        <v>44907</v>
      </c>
      <c r="O297" t="str">
        <f>LEFT(Table1[[#This Row],[Department_Region]], FIND("-", Table1[[#This Row],[Department_Region]]) - 1)</f>
        <v>DevOps</v>
      </c>
      <c r="P297" t="str">
        <f>RIGHT(Table1[[#This Row],[Department_Region]],LEN(Table1[[#This Row],[Department_Region]]) - FIND("-",Table1[[#This Row],[Department_Region]]))</f>
        <v>Illinois</v>
      </c>
      <c r="Q2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97" s="15"/>
    </row>
    <row r="298" spans="1:18" x14ac:dyDescent="0.2">
      <c r="A298" s="1">
        <v>296</v>
      </c>
      <c r="B298" s="6" t="s">
        <v>606</v>
      </c>
      <c r="C298" t="s">
        <v>13</v>
      </c>
      <c r="D298" t="s">
        <v>93</v>
      </c>
      <c r="E298">
        <v>32</v>
      </c>
      <c r="F298" t="s">
        <v>161</v>
      </c>
      <c r="G298" t="s">
        <v>28</v>
      </c>
      <c r="H298" s="6" t="s">
        <v>1776</v>
      </c>
      <c r="I298" s="11">
        <v>64150.97</v>
      </c>
      <c r="J298" t="s">
        <v>94</v>
      </c>
      <c r="K298">
        <v>-23142899</v>
      </c>
      <c r="L298" t="s">
        <v>30</v>
      </c>
      <c r="M298" t="b">
        <v>1</v>
      </c>
      <c r="N298" s="17">
        <f t="shared" si="4"/>
        <v>44866</v>
      </c>
      <c r="O298" t="str">
        <f>LEFT(Table1[[#This Row],[Department_Region]], FIND("-", Table1[[#This Row],[Department_Region]]) - 1)</f>
        <v>Cloud Tech</v>
      </c>
      <c r="P298" t="str">
        <f>RIGHT(Table1[[#This Row],[Department_Region]],LEN(Table1[[#This Row],[Department_Region]]) - FIND("-",Table1[[#This Row],[Department_Region]]))</f>
        <v>Texas</v>
      </c>
      <c r="Q2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298" s="15"/>
    </row>
    <row r="299" spans="1:18" x14ac:dyDescent="0.2">
      <c r="A299" s="1">
        <v>297</v>
      </c>
      <c r="B299" s="6" t="s">
        <v>607</v>
      </c>
      <c r="C299" t="s">
        <v>54</v>
      </c>
      <c r="D299" t="s">
        <v>14</v>
      </c>
      <c r="E299">
        <v>35</v>
      </c>
      <c r="F299" t="s">
        <v>75</v>
      </c>
      <c r="G299" t="s">
        <v>16</v>
      </c>
      <c r="H299" s="6" t="s">
        <v>608</v>
      </c>
      <c r="I299" s="11">
        <v>64378.1</v>
      </c>
      <c r="J299" t="s">
        <v>173</v>
      </c>
      <c r="K299">
        <v>-1851327971</v>
      </c>
      <c r="L299" t="s">
        <v>41</v>
      </c>
      <c r="M299" t="b">
        <v>0</v>
      </c>
      <c r="N299" s="17">
        <f t="shared" si="4"/>
        <v>45224</v>
      </c>
      <c r="O299" t="str">
        <f>LEFT(Table1[[#This Row],[Department_Region]], FIND("-", Table1[[#This Row],[Department_Region]]) - 1)</f>
        <v>Sales</v>
      </c>
      <c r="P299" t="str">
        <f>RIGHT(Table1[[#This Row],[Department_Region]],LEN(Table1[[#This Row],[Department_Region]]) - FIND("-",Table1[[#This Row],[Department_Region]]))</f>
        <v>Florida</v>
      </c>
      <c r="Q2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299" s="15"/>
    </row>
    <row r="300" spans="1:18" x14ac:dyDescent="0.2">
      <c r="A300" s="1">
        <v>298</v>
      </c>
      <c r="B300" s="6" t="s">
        <v>609</v>
      </c>
      <c r="C300" t="s">
        <v>13</v>
      </c>
      <c r="D300" t="s">
        <v>26</v>
      </c>
      <c r="E300">
        <v>32</v>
      </c>
      <c r="F300" t="s">
        <v>21</v>
      </c>
      <c r="G300" t="s">
        <v>33</v>
      </c>
      <c r="H300" s="6" t="s">
        <v>610</v>
      </c>
      <c r="I300" s="11">
        <v>85927.35</v>
      </c>
      <c r="J300" t="s">
        <v>50</v>
      </c>
      <c r="K300">
        <v>-4572308480</v>
      </c>
      <c r="L300" t="s">
        <v>30</v>
      </c>
      <c r="M300" t="b">
        <v>0</v>
      </c>
      <c r="N300" s="17">
        <f t="shared" si="4"/>
        <v>44101</v>
      </c>
      <c r="O300" t="str">
        <f>LEFT(Table1[[#This Row],[Department_Region]], FIND("-", Table1[[#This Row],[Department_Region]]) - 1)</f>
        <v>Finance</v>
      </c>
      <c r="P300" t="str">
        <f>RIGHT(Table1[[#This Row],[Department_Region]],LEN(Table1[[#This Row],[Department_Region]]) - FIND("-",Table1[[#This Row],[Department_Region]]))</f>
        <v>Texas</v>
      </c>
      <c r="Q3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0" s="15"/>
    </row>
    <row r="301" spans="1:18" x14ac:dyDescent="0.2">
      <c r="A301" s="1">
        <v>299</v>
      </c>
      <c r="B301" s="6" t="s">
        <v>611</v>
      </c>
      <c r="C301" t="s">
        <v>25</v>
      </c>
      <c r="D301" t="s">
        <v>43</v>
      </c>
      <c r="E301">
        <v>32</v>
      </c>
      <c r="F301" t="s">
        <v>101</v>
      </c>
      <c r="G301" t="s">
        <v>33</v>
      </c>
      <c r="H301" s="6" t="s">
        <v>612</v>
      </c>
      <c r="I301" s="11">
        <v>51523.93</v>
      </c>
      <c r="J301" t="s">
        <v>45</v>
      </c>
      <c r="K301">
        <v>-18418619</v>
      </c>
      <c r="L301" t="s">
        <v>18</v>
      </c>
      <c r="M301" t="b">
        <v>1</v>
      </c>
      <c r="N301" s="17">
        <f t="shared" si="4"/>
        <v>45312</v>
      </c>
      <c r="O301" t="str">
        <f>LEFT(Table1[[#This Row],[Department_Region]], FIND("-", Table1[[#This Row],[Department_Region]]) - 1)</f>
        <v>Finance</v>
      </c>
      <c r="P301" t="str">
        <f>RIGHT(Table1[[#This Row],[Department_Region]],LEN(Table1[[#This Row],[Department_Region]]) - FIND("-",Table1[[#This Row],[Department_Region]]))</f>
        <v>Nevada</v>
      </c>
      <c r="Q3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01" s="15"/>
    </row>
    <row r="302" spans="1:18" x14ac:dyDescent="0.2">
      <c r="A302" s="1">
        <v>300</v>
      </c>
      <c r="B302" s="6" t="s">
        <v>613</v>
      </c>
      <c r="C302" t="s">
        <v>25</v>
      </c>
      <c r="D302" t="s">
        <v>124</v>
      </c>
      <c r="E302">
        <v>30</v>
      </c>
      <c r="F302" t="s">
        <v>44</v>
      </c>
      <c r="G302" t="s">
        <v>16</v>
      </c>
      <c r="H302" s="6" t="s">
        <v>614</v>
      </c>
      <c r="I302" s="11">
        <v>74117.02</v>
      </c>
      <c r="J302" t="s">
        <v>185</v>
      </c>
      <c r="K302">
        <v>-3036625435</v>
      </c>
      <c r="L302" t="s">
        <v>41</v>
      </c>
      <c r="M302" t="b">
        <v>0</v>
      </c>
      <c r="N302" s="17">
        <f t="shared" si="4"/>
        <v>44698</v>
      </c>
      <c r="O302" t="str">
        <f>LEFT(Table1[[#This Row],[Department_Region]], FIND("-", Table1[[#This Row],[Department_Region]]) - 1)</f>
        <v>Sales</v>
      </c>
      <c r="P302" t="str">
        <f>RIGHT(Table1[[#This Row],[Department_Region]],LEN(Table1[[#This Row],[Department_Region]]) - FIND("-",Table1[[#This Row],[Department_Region]]))</f>
        <v>Texas</v>
      </c>
      <c r="Q3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2" s="15"/>
    </row>
    <row r="303" spans="1:18" x14ac:dyDescent="0.2">
      <c r="A303" s="1">
        <v>301</v>
      </c>
      <c r="B303" s="6" t="s">
        <v>615</v>
      </c>
      <c r="C303" t="s">
        <v>25</v>
      </c>
      <c r="D303" t="s">
        <v>124</v>
      </c>
      <c r="E303">
        <v>25</v>
      </c>
      <c r="F303" t="s">
        <v>21</v>
      </c>
      <c r="G303" t="s">
        <v>33</v>
      </c>
      <c r="H303" s="6" t="s">
        <v>616</v>
      </c>
      <c r="I303" s="11">
        <v>62598.69</v>
      </c>
      <c r="J303" t="s">
        <v>185</v>
      </c>
      <c r="K303">
        <v>-1721314518</v>
      </c>
      <c r="L303" t="s">
        <v>18</v>
      </c>
      <c r="M303" t="b">
        <v>1</v>
      </c>
      <c r="N303" s="17">
        <f t="shared" si="4"/>
        <v>44668</v>
      </c>
      <c r="O303" t="str">
        <f>LEFT(Table1[[#This Row],[Department_Region]], FIND("-", Table1[[#This Row],[Department_Region]]) - 1)</f>
        <v>Finance</v>
      </c>
      <c r="P303" t="str">
        <f>RIGHT(Table1[[#This Row],[Department_Region]],LEN(Table1[[#This Row],[Department_Region]]) - FIND("-",Table1[[#This Row],[Department_Region]]))</f>
        <v>Texas</v>
      </c>
      <c r="Q3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3" s="15"/>
    </row>
    <row r="304" spans="1:18" x14ac:dyDescent="0.2">
      <c r="A304" s="1">
        <v>302</v>
      </c>
      <c r="B304" s="6" t="s">
        <v>617</v>
      </c>
      <c r="C304" t="s">
        <v>69</v>
      </c>
      <c r="D304" t="s">
        <v>38</v>
      </c>
      <c r="E304">
        <v>35</v>
      </c>
      <c r="F304" t="s">
        <v>113</v>
      </c>
      <c r="G304" t="s">
        <v>33</v>
      </c>
      <c r="H304" s="6" t="s">
        <v>1777</v>
      </c>
      <c r="I304" s="11">
        <v>55617.5</v>
      </c>
      <c r="J304" t="s">
        <v>72</v>
      </c>
      <c r="K304">
        <v>-5151092267</v>
      </c>
      <c r="L304" t="s">
        <v>23</v>
      </c>
      <c r="M304" t="b">
        <v>1</v>
      </c>
      <c r="N304" s="17">
        <f t="shared" si="4"/>
        <v>44600</v>
      </c>
      <c r="O304" t="str">
        <f>LEFT(Table1[[#This Row],[Department_Region]], FIND("-", Table1[[#This Row],[Department_Region]]) - 1)</f>
        <v>Finance</v>
      </c>
      <c r="P304" t="str">
        <f>RIGHT(Table1[[#This Row],[Department_Region]],LEN(Table1[[#This Row],[Department_Region]]) - FIND("-",Table1[[#This Row],[Department_Region]]))</f>
        <v>Florida</v>
      </c>
      <c r="Q3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04" s="15"/>
    </row>
    <row r="305" spans="1:18" x14ac:dyDescent="0.2">
      <c r="A305" s="1">
        <v>303</v>
      </c>
      <c r="B305" s="6" t="s">
        <v>618</v>
      </c>
      <c r="C305" t="s">
        <v>54</v>
      </c>
      <c r="D305" t="s">
        <v>93</v>
      </c>
      <c r="E305">
        <v>35</v>
      </c>
      <c r="F305" t="s">
        <v>60</v>
      </c>
      <c r="G305" t="s">
        <v>28</v>
      </c>
      <c r="H305" s="6" t="s">
        <v>619</v>
      </c>
      <c r="I305" s="11">
        <v>87018.98</v>
      </c>
      <c r="J305" t="s">
        <v>508</v>
      </c>
      <c r="K305">
        <v>-5926249450</v>
      </c>
      <c r="L305" t="s">
        <v>30</v>
      </c>
      <c r="M305" t="b">
        <v>1</v>
      </c>
      <c r="N305" s="17">
        <f t="shared" si="4"/>
        <v>44635</v>
      </c>
      <c r="O305" t="str">
        <f>LEFT(Table1[[#This Row],[Department_Region]], FIND("-", Table1[[#This Row],[Department_Region]]) - 1)</f>
        <v>Cloud Tech</v>
      </c>
      <c r="P305" t="str">
        <f>RIGHT(Table1[[#This Row],[Department_Region]],LEN(Table1[[#This Row],[Department_Region]]) - FIND("-",Table1[[#This Row],[Department_Region]]))</f>
        <v>New York</v>
      </c>
      <c r="Q3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5" s="15"/>
    </row>
    <row r="306" spans="1:18" x14ac:dyDescent="0.2">
      <c r="A306" s="1">
        <v>304</v>
      </c>
      <c r="B306" s="6" t="s">
        <v>620</v>
      </c>
      <c r="C306" t="s">
        <v>59</v>
      </c>
      <c r="D306" t="s">
        <v>55</v>
      </c>
      <c r="E306">
        <v>25</v>
      </c>
      <c r="F306" t="s">
        <v>272</v>
      </c>
      <c r="G306" t="s">
        <v>33</v>
      </c>
      <c r="H306" s="6" t="s">
        <v>116</v>
      </c>
      <c r="I306" s="11">
        <v>100336.58</v>
      </c>
      <c r="J306" t="s">
        <v>220</v>
      </c>
      <c r="K306">
        <v>-4754102251</v>
      </c>
      <c r="L306" t="s">
        <v>23</v>
      </c>
      <c r="M306" t="b">
        <v>1</v>
      </c>
      <c r="N306" s="17">
        <f t="shared" si="4"/>
        <v>45210</v>
      </c>
      <c r="O306" t="str">
        <f>LEFT(Table1[[#This Row],[Department_Region]], FIND("-", Table1[[#This Row],[Department_Region]]) - 1)</f>
        <v>Cloud Tech</v>
      </c>
      <c r="P306" t="str">
        <f>RIGHT(Table1[[#This Row],[Department_Region]],LEN(Table1[[#This Row],[Department_Region]]) - FIND("-",Table1[[#This Row],[Department_Region]]))</f>
        <v>California</v>
      </c>
      <c r="Q3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6" s="15"/>
    </row>
    <row r="307" spans="1:18" x14ac:dyDescent="0.2">
      <c r="A307" s="1">
        <v>305</v>
      </c>
      <c r="B307" s="6" t="s">
        <v>621</v>
      </c>
      <c r="C307" t="s">
        <v>69</v>
      </c>
      <c r="D307" t="s">
        <v>26</v>
      </c>
      <c r="E307">
        <v>30</v>
      </c>
      <c r="F307" t="s">
        <v>208</v>
      </c>
      <c r="G307" t="s">
        <v>33</v>
      </c>
      <c r="H307" s="6" t="s">
        <v>622</v>
      </c>
      <c r="I307" s="11">
        <v>69295.48</v>
      </c>
      <c r="J307" t="s">
        <v>77</v>
      </c>
      <c r="K307">
        <v>-6771196420</v>
      </c>
      <c r="L307" t="s">
        <v>23</v>
      </c>
      <c r="M307" t="b">
        <v>0</v>
      </c>
      <c r="N307" s="17">
        <f t="shared" si="4"/>
        <v>44148</v>
      </c>
      <c r="O307" t="str">
        <f>LEFT(Table1[[#This Row],[Department_Region]], FIND("-", Table1[[#This Row],[Department_Region]]) - 1)</f>
        <v>Admin</v>
      </c>
      <c r="P307" t="str">
        <f>RIGHT(Table1[[#This Row],[Department_Region]],LEN(Table1[[#This Row],[Department_Region]]) - FIND("-",Table1[[#This Row],[Department_Region]]))</f>
        <v>Florida</v>
      </c>
      <c r="Q3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7" s="15"/>
    </row>
    <row r="308" spans="1:18" x14ac:dyDescent="0.2">
      <c r="A308" s="1">
        <v>306</v>
      </c>
      <c r="B308" s="6" t="s">
        <v>623</v>
      </c>
      <c r="C308" t="s">
        <v>13</v>
      </c>
      <c r="D308" t="s">
        <v>20</v>
      </c>
      <c r="E308">
        <v>25</v>
      </c>
      <c r="F308" t="s">
        <v>233</v>
      </c>
      <c r="G308" t="s">
        <v>28</v>
      </c>
      <c r="H308" s="6" t="s">
        <v>624</v>
      </c>
      <c r="I308" s="11">
        <v>115536.66</v>
      </c>
      <c r="J308" t="s">
        <v>22</v>
      </c>
      <c r="K308">
        <v>-5226557675</v>
      </c>
      <c r="L308" t="s">
        <v>23</v>
      </c>
      <c r="M308" t="b">
        <v>1</v>
      </c>
      <c r="N308" s="17">
        <f t="shared" si="4"/>
        <v>45399</v>
      </c>
      <c r="O308" t="str">
        <f>LEFT(Table1[[#This Row],[Department_Region]], FIND("-", Table1[[#This Row],[Department_Region]]) - 1)</f>
        <v>DevOps</v>
      </c>
      <c r="P308" t="str">
        <f>RIGHT(Table1[[#This Row],[Department_Region]],LEN(Table1[[#This Row],[Department_Region]]) - FIND("-",Table1[[#This Row],[Department_Region]]))</f>
        <v>Florida</v>
      </c>
      <c r="Q3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8" s="15"/>
    </row>
    <row r="309" spans="1:18" x14ac:dyDescent="0.2">
      <c r="A309" s="1">
        <v>307</v>
      </c>
      <c r="B309" s="6" t="s">
        <v>625</v>
      </c>
      <c r="C309" t="s">
        <v>59</v>
      </c>
      <c r="D309" t="s">
        <v>55</v>
      </c>
      <c r="E309">
        <v>30</v>
      </c>
      <c r="F309" t="s">
        <v>161</v>
      </c>
      <c r="G309" t="s">
        <v>28</v>
      </c>
      <c r="H309" s="6" t="s">
        <v>1778</v>
      </c>
      <c r="I309" s="11">
        <v>81250.87</v>
      </c>
      <c r="J309" t="s">
        <v>220</v>
      </c>
      <c r="K309">
        <v>-9523668787</v>
      </c>
      <c r="L309" t="s">
        <v>23</v>
      </c>
      <c r="M309" t="b">
        <v>0</v>
      </c>
      <c r="N309" s="17">
        <f t="shared" si="4"/>
        <v>43899</v>
      </c>
      <c r="O309" t="str">
        <f>LEFT(Table1[[#This Row],[Department_Region]], FIND("-", Table1[[#This Row],[Department_Region]]) - 1)</f>
        <v>Cloud Tech</v>
      </c>
      <c r="P309" t="str">
        <f>RIGHT(Table1[[#This Row],[Department_Region]],LEN(Table1[[#This Row],[Department_Region]]) - FIND("-",Table1[[#This Row],[Department_Region]]))</f>
        <v>Texas</v>
      </c>
      <c r="Q3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09" s="15"/>
    </row>
    <row r="310" spans="1:18" x14ac:dyDescent="0.2">
      <c r="A310" s="1">
        <v>308</v>
      </c>
      <c r="B310" s="6" t="s">
        <v>626</v>
      </c>
      <c r="C310" t="s">
        <v>25</v>
      </c>
      <c r="D310" t="s">
        <v>43</v>
      </c>
      <c r="E310">
        <v>30</v>
      </c>
      <c r="F310" t="s">
        <v>241</v>
      </c>
      <c r="G310" t="s">
        <v>33</v>
      </c>
      <c r="H310" s="6" t="s">
        <v>627</v>
      </c>
      <c r="I310" s="11">
        <v>66403.75</v>
      </c>
      <c r="J310" t="s">
        <v>45</v>
      </c>
      <c r="K310">
        <v>-7883619688</v>
      </c>
      <c r="L310" t="s">
        <v>30</v>
      </c>
      <c r="M310" t="b">
        <v>0</v>
      </c>
      <c r="N310" s="17">
        <f t="shared" si="4"/>
        <v>44729</v>
      </c>
      <c r="O310" t="str">
        <f>LEFT(Table1[[#This Row],[Department_Region]], FIND("-", Table1[[#This Row],[Department_Region]]) - 1)</f>
        <v>DevOps</v>
      </c>
      <c r="P310" t="str">
        <f>RIGHT(Table1[[#This Row],[Department_Region]],LEN(Table1[[#This Row],[Department_Region]]) - FIND("-",Table1[[#This Row],[Department_Region]]))</f>
        <v>Texas</v>
      </c>
      <c r="Q3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10" s="15"/>
    </row>
    <row r="311" spans="1:18" x14ac:dyDescent="0.2">
      <c r="A311" s="1">
        <v>309</v>
      </c>
      <c r="B311" s="6" t="s">
        <v>628</v>
      </c>
      <c r="C311" t="s">
        <v>25</v>
      </c>
      <c r="D311" t="s">
        <v>93</v>
      </c>
      <c r="E311">
        <v>30</v>
      </c>
      <c r="F311" t="s">
        <v>180</v>
      </c>
      <c r="G311" t="s">
        <v>16</v>
      </c>
      <c r="H311" s="6" t="s">
        <v>629</v>
      </c>
      <c r="I311" s="11">
        <v>114147.79</v>
      </c>
      <c r="J311" t="s">
        <v>168</v>
      </c>
      <c r="K311">
        <v>-3135030586</v>
      </c>
      <c r="L311" t="s">
        <v>23</v>
      </c>
      <c r="M311" t="b">
        <v>0</v>
      </c>
      <c r="N311" s="17">
        <f t="shared" si="4"/>
        <v>45501</v>
      </c>
      <c r="O311" t="str">
        <f>LEFT(Table1[[#This Row],[Department_Region]], FIND("-", Table1[[#This Row],[Department_Region]]) - 1)</f>
        <v>Sales</v>
      </c>
      <c r="P311" t="str">
        <f>RIGHT(Table1[[#This Row],[Department_Region]],LEN(Table1[[#This Row],[Department_Region]]) - FIND("-",Table1[[#This Row],[Department_Region]]))</f>
        <v>California</v>
      </c>
      <c r="Q3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11" s="15"/>
    </row>
    <row r="312" spans="1:18" x14ac:dyDescent="0.2">
      <c r="A312" s="1">
        <v>310</v>
      </c>
      <c r="B312" s="6" t="s">
        <v>630</v>
      </c>
      <c r="C312" t="s">
        <v>37</v>
      </c>
      <c r="D312" t="s">
        <v>43</v>
      </c>
      <c r="E312">
        <v>30</v>
      </c>
      <c r="F312" t="s">
        <v>66</v>
      </c>
      <c r="G312" t="s">
        <v>28</v>
      </c>
      <c r="H312" s="6" t="s">
        <v>1779</v>
      </c>
      <c r="I312" s="11">
        <v>65472.99</v>
      </c>
      <c r="J312" t="s">
        <v>183</v>
      </c>
      <c r="K312">
        <v>-2105524727</v>
      </c>
      <c r="L312" t="s">
        <v>30</v>
      </c>
      <c r="M312" t="b">
        <v>0</v>
      </c>
      <c r="N312" s="17">
        <f t="shared" si="4"/>
        <v>44898</v>
      </c>
      <c r="O312" t="str">
        <f>LEFT(Table1[[#This Row],[Department_Region]], FIND("-", Table1[[#This Row],[Department_Region]]) - 1)</f>
        <v>HR</v>
      </c>
      <c r="P312" t="str">
        <f>RIGHT(Table1[[#This Row],[Department_Region]],LEN(Table1[[#This Row],[Department_Region]]) - FIND("-",Table1[[#This Row],[Department_Region]]))</f>
        <v>New York</v>
      </c>
      <c r="Q3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12" s="15"/>
    </row>
    <row r="313" spans="1:18" x14ac:dyDescent="0.2">
      <c r="A313" s="1">
        <v>311</v>
      </c>
      <c r="B313" s="6" t="s">
        <v>631</v>
      </c>
      <c r="C313" t="s">
        <v>25</v>
      </c>
      <c r="D313" t="s">
        <v>14</v>
      </c>
      <c r="E313">
        <v>32</v>
      </c>
      <c r="F313" t="s">
        <v>222</v>
      </c>
      <c r="G313" t="s">
        <v>16</v>
      </c>
      <c r="H313" s="6" t="s">
        <v>1780</v>
      </c>
      <c r="I313" s="11">
        <v>97512.51</v>
      </c>
      <c r="J313" t="s">
        <v>165</v>
      </c>
      <c r="K313">
        <v>-6333021259</v>
      </c>
      <c r="L313" t="s">
        <v>30</v>
      </c>
      <c r="M313" t="b">
        <v>1</v>
      </c>
      <c r="N313" s="17">
        <f t="shared" si="4"/>
        <v>45113</v>
      </c>
      <c r="O313" t="str">
        <f>LEFT(Table1[[#This Row],[Department_Region]], FIND("-", Table1[[#This Row],[Department_Region]]) - 1)</f>
        <v>Sales</v>
      </c>
      <c r="P313" t="str">
        <f>RIGHT(Table1[[#This Row],[Department_Region]],LEN(Table1[[#This Row],[Department_Region]]) - FIND("-",Table1[[#This Row],[Department_Region]]))</f>
        <v>Nevada</v>
      </c>
      <c r="Q3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13" s="15"/>
    </row>
    <row r="314" spans="1:18" x14ac:dyDescent="0.2">
      <c r="A314" s="1">
        <v>312</v>
      </c>
      <c r="B314" s="6" t="s">
        <v>632</v>
      </c>
      <c r="C314" t="s">
        <v>25</v>
      </c>
      <c r="D314" t="s">
        <v>20</v>
      </c>
      <c r="E314">
        <v>35</v>
      </c>
      <c r="F314" t="s">
        <v>333</v>
      </c>
      <c r="G314" t="s">
        <v>33</v>
      </c>
      <c r="H314" s="6" t="s">
        <v>633</v>
      </c>
      <c r="I314" s="11">
        <v>86712.41</v>
      </c>
      <c r="J314" t="s">
        <v>81</v>
      </c>
      <c r="K314">
        <v>-6501917919</v>
      </c>
      <c r="L314" t="s">
        <v>18</v>
      </c>
      <c r="M314" t="b">
        <v>1</v>
      </c>
      <c r="N314" s="17">
        <f t="shared" si="4"/>
        <v>45440</v>
      </c>
      <c r="O314" t="str">
        <f>LEFT(Table1[[#This Row],[Department_Region]], FIND("-", Table1[[#This Row],[Department_Region]]) - 1)</f>
        <v>DevOps</v>
      </c>
      <c r="P314" t="str">
        <f>RIGHT(Table1[[#This Row],[Department_Region]],LEN(Table1[[#This Row],[Department_Region]]) - FIND("-",Table1[[#This Row],[Department_Region]]))</f>
        <v>Nevada</v>
      </c>
      <c r="Q3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14" s="15"/>
    </row>
    <row r="315" spans="1:18" x14ac:dyDescent="0.2">
      <c r="A315" s="1">
        <v>313</v>
      </c>
      <c r="B315" s="6" t="s">
        <v>634</v>
      </c>
      <c r="C315" t="s">
        <v>69</v>
      </c>
      <c r="D315" t="s">
        <v>14</v>
      </c>
      <c r="E315">
        <v>30</v>
      </c>
      <c r="F315" t="s">
        <v>215</v>
      </c>
      <c r="G315" t="s">
        <v>16</v>
      </c>
      <c r="H315" s="6" t="s">
        <v>635</v>
      </c>
      <c r="I315" s="11">
        <v>87654.98</v>
      </c>
      <c r="J315" t="s">
        <v>239</v>
      </c>
      <c r="K315">
        <v>-2521310961</v>
      </c>
      <c r="L315" t="s">
        <v>41</v>
      </c>
      <c r="M315" t="b">
        <v>0</v>
      </c>
      <c r="N315" s="17">
        <f t="shared" si="4"/>
        <v>45376</v>
      </c>
      <c r="O315" t="str">
        <f>LEFT(Table1[[#This Row],[Department_Region]], FIND("-", Table1[[#This Row],[Department_Region]]) - 1)</f>
        <v>HR</v>
      </c>
      <c r="P315" t="str">
        <f>RIGHT(Table1[[#This Row],[Department_Region]],LEN(Table1[[#This Row],[Department_Region]]) - FIND("-",Table1[[#This Row],[Department_Region]]))</f>
        <v>Florida</v>
      </c>
      <c r="Q3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15" s="15"/>
    </row>
    <row r="316" spans="1:18" x14ac:dyDescent="0.2">
      <c r="A316" s="1">
        <v>314</v>
      </c>
      <c r="B316" s="6" t="s">
        <v>636</v>
      </c>
      <c r="C316" t="s">
        <v>59</v>
      </c>
      <c r="D316" t="s">
        <v>38</v>
      </c>
      <c r="E316">
        <v>35</v>
      </c>
      <c r="F316" t="s">
        <v>56</v>
      </c>
      <c r="G316" t="s">
        <v>33</v>
      </c>
      <c r="H316" s="6" t="s">
        <v>637</v>
      </c>
      <c r="I316" s="11">
        <v>89367.02</v>
      </c>
      <c r="J316" t="s">
        <v>61</v>
      </c>
      <c r="K316">
        <v>-2728476569</v>
      </c>
      <c r="L316" t="s">
        <v>41</v>
      </c>
      <c r="M316" t="b">
        <v>0</v>
      </c>
      <c r="N316" s="17">
        <f t="shared" si="4"/>
        <v>43949</v>
      </c>
      <c r="O316" t="str">
        <f>LEFT(Table1[[#This Row],[Department_Region]], FIND("-", Table1[[#This Row],[Department_Region]]) - 1)</f>
        <v>DevOps</v>
      </c>
      <c r="P316" t="str">
        <f>RIGHT(Table1[[#This Row],[Department_Region]],LEN(Table1[[#This Row],[Department_Region]]) - FIND("-",Table1[[#This Row],[Department_Region]]))</f>
        <v>New York</v>
      </c>
      <c r="Q3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16" s="15"/>
    </row>
    <row r="317" spans="1:18" x14ac:dyDescent="0.2">
      <c r="A317" s="1">
        <v>315</v>
      </c>
      <c r="B317" s="6" t="s">
        <v>638</v>
      </c>
      <c r="C317" t="s">
        <v>54</v>
      </c>
      <c r="D317" t="s">
        <v>43</v>
      </c>
      <c r="E317">
        <v>40</v>
      </c>
      <c r="F317" t="s">
        <v>120</v>
      </c>
      <c r="G317" t="s">
        <v>16</v>
      </c>
      <c r="H317" s="6" t="s">
        <v>1700</v>
      </c>
      <c r="I317" s="11">
        <v>95269.41</v>
      </c>
      <c r="J317" t="s">
        <v>88</v>
      </c>
      <c r="K317">
        <v>-4120092819</v>
      </c>
      <c r="L317" t="s">
        <v>30</v>
      </c>
      <c r="M317" t="b">
        <v>1</v>
      </c>
      <c r="N317" s="17">
        <f t="shared" si="4"/>
        <v>44507</v>
      </c>
      <c r="O317" t="str">
        <f>LEFT(Table1[[#This Row],[Department_Region]], FIND("-", Table1[[#This Row],[Department_Region]]) - 1)</f>
        <v>Admin</v>
      </c>
      <c r="P317" t="str">
        <f>RIGHT(Table1[[#This Row],[Department_Region]],LEN(Table1[[#This Row],[Department_Region]]) - FIND("-",Table1[[#This Row],[Department_Region]]))</f>
        <v>California</v>
      </c>
      <c r="Q3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17" s="15"/>
    </row>
    <row r="318" spans="1:18" x14ac:dyDescent="0.2">
      <c r="A318" s="1">
        <v>316</v>
      </c>
      <c r="B318" s="6" t="s">
        <v>639</v>
      </c>
      <c r="C318" t="s">
        <v>37</v>
      </c>
      <c r="D318" t="s">
        <v>38</v>
      </c>
      <c r="E318">
        <v>25</v>
      </c>
      <c r="F318" t="s">
        <v>222</v>
      </c>
      <c r="G318" t="s">
        <v>16</v>
      </c>
      <c r="H318" s="6" t="s">
        <v>640</v>
      </c>
      <c r="I318" s="11">
        <v>68792.31</v>
      </c>
      <c r="J318" t="s">
        <v>40</v>
      </c>
      <c r="K318">
        <v>-6678498435</v>
      </c>
      <c r="L318" t="s">
        <v>18</v>
      </c>
      <c r="M318" t="b">
        <v>0</v>
      </c>
      <c r="N318" s="17">
        <f t="shared" si="4"/>
        <v>43936</v>
      </c>
      <c r="O318" t="str">
        <f>LEFT(Table1[[#This Row],[Department_Region]], FIND("-", Table1[[#This Row],[Department_Region]]) - 1)</f>
        <v>Sales</v>
      </c>
      <c r="P318" t="str">
        <f>RIGHT(Table1[[#This Row],[Department_Region]],LEN(Table1[[#This Row],[Department_Region]]) - FIND("-",Table1[[#This Row],[Department_Region]]))</f>
        <v>Nevada</v>
      </c>
      <c r="Q3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18" s="15"/>
    </row>
    <row r="319" spans="1:18" x14ac:dyDescent="0.2">
      <c r="A319" s="1">
        <v>317</v>
      </c>
      <c r="B319" s="6" t="s">
        <v>641</v>
      </c>
      <c r="C319" t="s">
        <v>25</v>
      </c>
      <c r="D319" t="s">
        <v>124</v>
      </c>
      <c r="E319">
        <v>25</v>
      </c>
      <c r="F319" t="s">
        <v>90</v>
      </c>
      <c r="G319" t="s">
        <v>28</v>
      </c>
      <c r="H319" s="6" t="s">
        <v>1781</v>
      </c>
      <c r="I319" s="11">
        <v>89119.53</v>
      </c>
      <c r="J319" t="s">
        <v>185</v>
      </c>
      <c r="K319">
        <v>-2418623689</v>
      </c>
      <c r="L319" t="s">
        <v>30</v>
      </c>
      <c r="M319" t="b">
        <v>1</v>
      </c>
      <c r="N319" s="17">
        <f t="shared" si="4"/>
        <v>45206</v>
      </c>
      <c r="O319" t="str">
        <f>LEFT(Table1[[#This Row],[Department_Region]], FIND("-", Table1[[#This Row],[Department_Region]]) - 1)</f>
        <v>Admin</v>
      </c>
      <c r="P319" t="str">
        <f>RIGHT(Table1[[#This Row],[Department_Region]],LEN(Table1[[#This Row],[Department_Region]]) - FIND("-",Table1[[#This Row],[Department_Region]]))</f>
        <v>Illinois</v>
      </c>
      <c r="Q3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19" s="15"/>
    </row>
    <row r="320" spans="1:18" x14ac:dyDescent="0.2">
      <c r="A320" s="1">
        <v>318</v>
      </c>
      <c r="B320" s="6" t="s">
        <v>642</v>
      </c>
      <c r="C320" t="s">
        <v>37</v>
      </c>
      <c r="D320" t="s">
        <v>14</v>
      </c>
      <c r="E320">
        <v>35</v>
      </c>
      <c r="F320" t="s">
        <v>60</v>
      </c>
      <c r="G320" t="s">
        <v>16</v>
      </c>
      <c r="H320" s="6" t="s">
        <v>643</v>
      </c>
      <c r="I320" s="11">
        <v>58212.13</v>
      </c>
      <c r="J320" t="s">
        <v>52</v>
      </c>
      <c r="K320">
        <v>-3628917755</v>
      </c>
      <c r="L320" t="s">
        <v>30</v>
      </c>
      <c r="M320" t="b">
        <v>0</v>
      </c>
      <c r="N320" s="17">
        <f t="shared" si="4"/>
        <v>45349</v>
      </c>
      <c r="O320" t="str">
        <f>LEFT(Table1[[#This Row],[Department_Region]], FIND("-", Table1[[#This Row],[Department_Region]]) - 1)</f>
        <v>Cloud Tech</v>
      </c>
      <c r="P320" t="str">
        <f>RIGHT(Table1[[#This Row],[Department_Region]],LEN(Table1[[#This Row],[Department_Region]]) - FIND("-",Table1[[#This Row],[Department_Region]]))</f>
        <v>New York</v>
      </c>
      <c r="Q3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20" s="15"/>
    </row>
    <row r="321" spans="1:18" x14ac:dyDescent="0.2">
      <c r="A321" s="1">
        <v>319</v>
      </c>
      <c r="B321" s="6" t="s">
        <v>644</v>
      </c>
      <c r="C321" t="s">
        <v>65</v>
      </c>
      <c r="D321" t="s">
        <v>93</v>
      </c>
      <c r="E321">
        <v>30</v>
      </c>
      <c r="F321" t="s">
        <v>79</v>
      </c>
      <c r="G321" t="s">
        <v>28</v>
      </c>
      <c r="H321" s="6" t="s">
        <v>645</v>
      </c>
      <c r="I321" s="11">
        <v>77764.240000000005</v>
      </c>
      <c r="J321" t="s">
        <v>132</v>
      </c>
      <c r="K321">
        <v>-6205634110</v>
      </c>
      <c r="L321" t="s">
        <v>30</v>
      </c>
      <c r="M321" t="b">
        <v>1</v>
      </c>
      <c r="N321" s="17">
        <f t="shared" si="4"/>
        <v>44249</v>
      </c>
      <c r="O321" t="str">
        <f>LEFT(Table1[[#This Row],[Department_Region]], FIND("-", Table1[[#This Row],[Department_Region]]) - 1)</f>
        <v>DevOps</v>
      </c>
      <c r="P321" t="str">
        <f>RIGHT(Table1[[#This Row],[Department_Region]],LEN(Table1[[#This Row],[Department_Region]]) - FIND("-",Table1[[#This Row],[Department_Region]]))</f>
        <v>Illinois</v>
      </c>
      <c r="Q3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21" s="15"/>
    </row>
    <row r="322" spans="1:18" x14ac:dyDescent="0.2">
      <c r="A322" s="1">
        <v>320</v>
      </c>
      <c r="B322" s="6" t="s">
        <v>646</v>
      </c>
      <c r="C322" t="s">
        <v>37</v>
      </c>
      <c r="D322" t="s">
        <v>43</v>
      </c>
      <c r="E322">
        <v>35</v>
      </c>
      <c r="F322" t="s">
        <v>113</v>
      </c>
      <c r="G322" t="s">
        <v>28</v>
      </c>
      <c r="H322" s="6" t="s">
        <v>647</v>
      </c>
      <c r="I322" s="11">
        <v>75148.17</v>
      </c>
      <c r="J322" t="s">
        <v>183</v>
      </c>
      <c r="K322">
        <v>-5950342810</v>
      </c>
      <c r="L322" t="s">
        <v>18</v>
      </c>
      <c r="M322" t="b">
        <v>0</v>
      </c>
      <c r="N322" s="17">
        <f t="shared" ref="N322:N385" si="5">IF(ISNUMBER(H322), H322, DATE(RIGHT(H322, 4), LEFT(H322, FIND("/", H322) - 1), MID(H322, FIND("/", H322) + 1, FIND("/", H322, FIND("/", H322) + 1) - FIND("/", H322) - 1)))</f>
        <v>45159</v>
      </c>
      <c r="O322" t="str">
        <f>LEFT(Table1[[#This Row],[Department_Region]], FIND("-", Table1[[#This Row],[Department_Region]]) - 1)</f>
        <v>Finance</v>
      </c>
      <c r="P322" t="str">
        <f>RIGHT(Table1[[#This Row],[Department_Region]],LEN(Table1[[#This Row],[Department_Region]]) - FIND("-",Table1[[#This Row],[Department_Region]]))</f>
        <v>Florida</v>
      </c>
      <c r="Q3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22" s="15"/>
    </row>
    <row r="323" spans="1:18" x14ac:dyDescent="0.2">
      <c r="A323" s="1">
        <v>321</v>
      </c>
      <c r="B323" s="6" t="s">
        <v>648</v>
      </c>
      <c r="C323" t="s">
        <v>65</v>
      </c>
      <c r="D323" t="s">
        <v>26</v>
      </c>
      <c r="E323">
        <v>40</v>
      </c>
      <c r="F323" t="s">
        <v>86</v>
      </c>
      <c r="G323" t="s">
        <v>33</v>
      </c>
      <c r="H323" s="6" t="s">
        <v>1782</v>
      </c>
      <c r="I323" s="11">
        <v>108781.18</v>
      </c>
      <c r="J323" t="s">
        <v>324</v>
      </c>
      <c r="K323">
        <v>-3904383033</v>
      </c>
      <c r="L323" t="s">
        <v>41</v>
      </c>
      <c r="M323" t="b">
        <v>0</v>
      </c>
      <c r="N323" s="17">
        <f t="shared" si="5"/>
        <v>45390</v>
      </c>
      <c r="O323" t="str">
        <f>LEFT(Table1[[#This Row],[Department_Region]], FIND("-", Table1[[#This Row],[Department_Region]]) - 1)</f>
        <v>Cloud Tech</v>
      </c>
      <c r="P323" t="str">
        <f>RIGHT(Table1[[#This Row],[Department_Region]],LEN(Table1[[#This Row],[Department_Region]]) - FIND("-",Table1[[#This Row],[Department_Region]]))</f>
        <v>Nevada</v>
      </c>
      <c r="Q3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23" s="15"/>
    </row>
    <row r="324" spans="1:18" x14ac:dyDescent="0.2">
      <c r="A324" s="1">
        <v>322</v>
      </c>
      <c r="B324" s="6" t="s">
        <v>649</v>
      </c>
      <c r="C324" t="s">
        <v>37</v>
      </c>
      <c r="D324" t="s">
        <v>20</v>
      </c>
      <c r="E324">
        <v>35</v>
      </c>
      <c r="F324" t="s">
        <v>21</v>
      </c>
      <c r="G324" t="s">
        <v>28</v>
      </c>
      <c r="H324" s="6" t="s">
        <v>1742</v>
      </c>
      <c r="I324" s="11">
        <v>65489.19</v>
      </c>
      <c r="J324" t="s">
        <v>243</v>
      </c>
      <c r="K324">
        <v>-1990970050</v>
      </c>
      <c r="L324" t="s">
        <v>18</v>
      </c>
      <c r="M324" t="b">
        <v>1</v>
      </c>
      <c r="N324" s="17">
        <f t="shared" si="5"/>
        <v>45600</v>
      </c>
      <c r="O324" t="str">
        <f>LEFT(Table1[[#This Row],[Department_Region]], FIND("-", Table1[[#This Row],[Department_Region]]) - 1)</f>
        <v>Finance</v>
      </c>
      <c r="P324" t="str">
        <f>RIGHT(Table1[[#This Row],[Department_Region]],LEN(Table1[[#This Row],[Department_Region]]) - FIND("-",Table1[[#This Row],[Department_Region]]))</f>
        <v>Texas</v>
      </c>
      <c r="Q3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24" s="15"/>
    </row>
    <row r="325" spans="1:18" x14ac:dyDescent="0.2">
      <c r="A325" s="1">
        <v>323</v>
      </c>
      <c r="B325" s="6" t="s">
        <v>650</v>
      </c>
      <c r="C325" t="s">
        <v>32</v>
      </c>
      <c r="D325" t="s">
        <v>55</v>
      </c>
      <c r="E325">
        <v>32</v>
      </c>
      <c r="F325" t="s">
        <v>99</v>
      </c>
      <c r="G325" t="s">
        <v>28</v>
      </c>
      <c r="H325" s="6" t="s">
        <v>1783</v>
      </c>
      <c r="I325" s="11">
        <v>70663.460000000006</v>
      </c>
      <c r="J325" t="s">
        <v>327</v>
      </c>
      <c r="K325">
        <v>-4054683564</v>
      </c>
      <c r="L325" t="s">
        <v>23</v>
      </c>
      <c r="M325" t="b">
        <v>0</v>
      </c>
      <c r="N325" s="17">
        <f t="shared" si="5"/>
        <v>44686</v>
      </c>
      <c r="O325" t="str">
        <f>LEFT(Table1[[#This Row],[Department_Region]], FIND("-", Table1[[#This Row],[Department_Region]]) - 1)</f>
        <v>Sales</v>
      </c>
      <c r="P325" t="str">
        <f>RIGHT(Table1[[#This Row],[Department_Region]],LEN(Table1[[#This Row],[Department_Region]]) - FIND("-",Table1[[#This Row],[Department_Region]]))</f>
        <v>Illinois</v>
      </c>
      <c r="Q3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25" s="15"/>
    </row>
    <row r="326" spans="1:18" x14ac:dyDescent="0.2">
      <c r="A326" s="1">
        <v>324</v>
      </c>
      <c r="B326" s="6" t="s">
        <v>651</v>
      </c>
      <c r="C326" t="s">
        <v>59</v>
      </c>
      <c r="D326" t="s">
        <v>93</v>
      </c>
      <c r="E326">
        <v>40</v>
      </c>
      <c r="F326" t="s">
        <v>110</v>
      </c>
      <c r="G326" t="s">
        <v>33</v>
      </c>
      <c r="H326" s="6" t="s">
        <v>1784</v>
      </c>
      <c r="I326" s="11">
        <v>95822.56</v>
      </c>
      <c r="J326" t="s">
        <v>108</v>
      </c>
      <c r="K326">
        <v>-2156818208</v>
      </c>
      <c r="L326" t="s">
        <v>18</v>
      </c>
      <c r="M326" t="b">
        <v>0</v>
      </c>
      <c r="N326" s="17">
        <f t="shared" si="5"/>
        <v>44958</v>
      </c>
      <c r="O326" t="str">
        <f>LEFT(Table1[[#This Row],[Department_Region]], FIND("-", Table1[[#This Row],[Department_Region]]) - 1)</f>
        <v>Sales</v>
      </c>
      <c r="P326" t="str">
        <f>RIGHT(Table1[[#This Row],[Department_Region]],LEN(Table1[[#This Row],[Department_Region]]) - FIND("-",Table1[[#This Row],[Department_Region]]))</f>
        <v>New York</v>
      </c>
      <c r="Q3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26" s="15"/>
    </row>
    <row r="327" spans="1:18" x14ac:dyDescent="0.2">
      <c r="A327" s="1">
        <v>325</v>
      </c>
      <c r="B327" s="6" t="s">
        <v>652</v>
      </c>
      <c r="C327" t="s">
        <v>32</v>
      </c>
      <c r="D327" t="s">
        <v>93</v>
      </c>
      <c r="E327">
        <v>40</v>
      </c>
      <c r="F327" t="s">
        <v>333</v>
      </c>
      <c r="G327" t="s">
        <v>28</v>
      </c>
      <c r="H327" s="6" t="s">
        <v>1785</v>
      </c>
      <c r="I327" s="11">
        <v>82258.03</v>
      </c>
      <c r="J327" t="s">
        <v>267</v>
      </c>
      <c r="K327">
        <v>-6790422710</v>
      </c>
      <c r="L327" t="s">
        <v>18</v>
      </c>
      <c r="M327" t="b">
        <v>1</v>
      </c>
      <c r="N327" s="17">
        <f t="shared" si="5"/>
        <v>44835</v>
      </c>
      <c r="O327" t="str">
        <f>LEFT(Table1[[#This Row],[Department_Region]], FIND("-", Table1[[#This Row],[Department_Region]]) - 1)</f>
        <v>DevOps</v>
      </c>
      <c r="P327" t="str">
        <f>RIGHT(Table1[[#This Row],[Department_Region]],LEN(Table1[[#This Row],[Department_Region]]) - FIND("-",Table1[[#This Row],[Department_Region]]))</f>
        <v>Nevada</v>
      </c>
      <c r="Q3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27" s="15"/>
    </row>
    <row r="328" spans="1:18" x14ac:dyDescent="0.2">
      <c r="A328" s="1">
        <v>326</v>
      </c>
      <c r="B328" s="6" t="s">
        <v>653</v>
      </c>
      <c r="C328" t="s">
        <v>37</v>
      </c>
      <c r="D328" t="s">
        <v>38</v>
      </c>
      <c r="E328">
        <v>30</v>
      </c>
      <c r="F328" t="s">
        <v>27</v>
      </c>
      <c r="G328" t="s">
        <v>28</v>
      </c>
      <c r="H328" s="6" t="s">
        <v>654</v>
      </c>
      <c r="I328" s="11">
        <v>62883.34</v>
      </c>
      <c r="J328" t="s">
        <v>40</v>
      </c>
      <c r="K328">
        <v>-3322889856</v>
      </c>
      <c r="L328" t="s">
        <v>18</v>
      </c>
      <c r="M328" t="b">
        <v>0</v>
      </c>
      <c r="N328" s="17">
        <f t="shared" si="5"/>
        <v>44831</v>
      </c>
      <c r="O328" t="str">
        <f>LEFT(Table1[[#This Row],[Department_Region]], FIND("-", Table1[[#This Row],[Department_Region]]) - 1)</f>
        <v>Admin</v>
      </c>
      <c r="P328" t="str">
        <f>RIGHT(Table1[[#This Row],[Department_Region]],LEN(Table1[[#This Row],[Department_Region]]) - FIND("-",Table1[[#This Row],[Department_Region]]))</f>
        <v>Nevada</v>
      </c>
      <c r="Q3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28" s="15"/>
    </row>
    <row r="329" spans="1:18" x14ac:dyDescent="0.2">
      <c r="A329" s="1">
        <v>327</v>
      </c>
      <c r="B329" s="6" t="s">
        <v>655</v>
      </c>
      <c r="C329" t="s">
        <v>25</v>
      </c>
      <c r="D329" t="s">
        <v>14</v>
      </c>
      <c r="E329">
        <v>32</v>
      </c>
      <c r="F329" t="s">
        <v>161</v>
      </c>
      <c r="G329" t="s">
        <v>28</v>
      </c>
      <c r="H329" s="6" t="s">
        <v>1786</v>
      </c>
      <c r="I329" s="11">
        <v>103503.72</v>
      </c>
      <c r="J329" t="s">
        <v>165</v>
      </c>
      <c r="K329">
        <v>-2545960632</v>
      </c>
      <c r="L329" t="s">
        <v>18</v>
      </c>
      <c r="M329" t="b">
        <v>1</v>
      </c>
      <c r="N329" s="17">
        <f t="shared" si="5"/>
        <v>43930</v>
      </c>
      <c r="O329" t="str">
        <f>LEFT(Table1[[#This Row],[Department_Region]], FIND("-", Table1[[#This Row],[Department_Region]]) - 1)</f>
        <v>Cloud Tech</v>
      </c>
      <c r="P329" t="str">
        <f>RIGHT(Table1[[#This Row],[Department_Region]],LEN(Table1[[#This Row],[Department_Region]]) - FIND("-",Table1[[#This Row],[Department_Region]]))</f>
        <v>Texas</v>
      </c>
      <c r="Q3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29" s="15"/>
    </row>
    <row r="330" spans="1:18" x14ac:dyDescent="0.2">
      <c r="A330" s="1">
        <v>328</v>
      </c>
      <c r="B330" s="6" t="s">
        <v>656</v>
      </c>
      <c r="C330" t="s">
        <v>59</v>
      </c>
      <c r="D330" t="s">
        <v>43</v>
      </c>
      <c r="E330">
        <v>25</v>
      </c>
      <c r="F330" t="s">
        <v>56</v>
      </c>
      <c r="G330" t="s">
        <v>16</v>
      </c>
      <c r="H330" s="6" t="s">
        <v>657</v>
      </c>
      <c r="I330" s="11">
        <v>85401.3</v>
      </c>
      <c r="J330" t="s">
        <v>102</v>
      </c>
      <c r="K330">
        <v>-9912971023</v>
      </c>
      <c r="L330" t="s">
        <v>41</v>
      </c>
      <c r="M330" t="b">
        <v>1</v>
      </c>
      <c r="N330" s="17">
        <f t="shared" si="5"/>
        <v>44278</v>
      </c>
      <c r="O330" t="str">
        <f>LEFT(Table1[[#This Row],[Department_Region]], FIND("-", Table1[[#This Row],[Department_Region]]) - 1)</f>
        <v>DevOps</v>
      </c>
      <c r="P330" t="str">
        <f>RIGHT(Table1[[#This Row],[Department_Region]],LEN(Table1[[#This Row],[Department_Region]]) - FIND("-",Table1[[#This Row],[Department_Region]]))</f>
        <v>New York</v>
      </c>
      <c r="Q3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0" s="15"/>
    </row>
    <row r="331" spans="1:18" x14ac:dyDescent="0.2">
      <c r="A331" s="1">
        <v>329</v>
      </c>
      <c r="B331" s="6" t="s">
        <v>658</v>
      </c>
      <c r="C331" t="s">
        <v>65</v>
      </c>
      <c r="D331" t="s">
        <v>43</v>
      </c>
      <c r="E331">
        <v>40</v>
      </c>
      <c r="F331" t="s">
        <v>161</v>
      </c>
      <c r="G331" t="s">
        <v>28</v>
      </c>
      <c r="H331" s="6" t="s">
        <v>1787</v>
      </c>
      <c r="I331" s="11">
        <v>85165.05</v>
      </c>
      <c r="J331" t="s">
        <v>261</v>
      </c>
      <c r="K331">
        <v>-8171752420</v>
      </c>
      <c r="L331" t="s">
        <v>23</v>
      </c>
      <c r="M331" t="b">
        <v>0</v>
      </c>
      <c r="N331" s="17">
        <f t="shared" si="5"/>
        <v>44960</v>
      </c>
      <c r="O331" t="str">
        <f>LEFT(Table1[[#This Row],[Department_Region]], FIND("-", Table1[[#This Row],[Department_Region]]) - 1)</f>
        <v>Cloud Tech</v>
      </c>
      <c r="P331" t="str">
        <f>RIGHT(Table1[[#This Row],[Department_Region]],LEN(Table1[[#This Row],[Department_Region]]) - FIND("-",Table1[[#This Row],[Department_Region]]))</f>
        <v>Texas</v>
      </c>
      <c r="Q3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1" s="15"/>
    </row>
    <row r="332" spans="1:18" x14ac:dyDescent="0.2">
      <c r="A332" s="1">
        <v>330</v>
      </c>
      <c r="B332" s="6" t="s">
        <v>659</v>
      </c>
      <c r="C332" t="s">
        <v>32</v>
      </c>
      <c r="D332" t="s">
        <v>124</v>
      </c>
      <c r="E332">
        <v>32</v>
      </c>
      <c r="F332" t="s">
        <v>141</v>
      </c>
      <c r="G332" t="s">
        <v>28</v>
      </c>
      <c r="H332" s="6" t="s">
        <v>660</v>
      </c>
      <c r="I332" s="11">
        <v>98850.14</v>
      </c>
      <c r="J332" t="s">
        <v>529</v>
      </c>
      <c r="K332">
        <v>-4955112746</v>
      </c>
      <c r="L332" t="s">
        <v>41</v>
      </c>
      <c r="M332" t="b">
        <v>0</v>
      </c>
      <c r="N332" s="17">
        <f t="shared" si="5"/>
        <v>45496</v>
      </c>
      <c r="O332" t="str">
        <f>LEFT(Table1[[#This Row],[Department_Region]], FIND("-", Table1[[#This Row],[Department_Region]]) - 1)</f>
        <v>HR</v>
      </c>
      <c r="P332" t="str">
        <f>RIGHT(Table1[[#This Row],[Department_Region]],LEN(Table1[[#This Row],[Department_Region]]) - FIND("-",Table1[[#This Row],[Department_Region]]))</f>
        <v>Texas</v>
      </c>
      <c r="Q3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32" s="15"/>
    </row>
    <row r="333" spans="1:18" x14ac:dyDescent="0.2">
      <c r="A333" s="1">
        <v>331</v>
      </c>
      <c r="B333" s="6" t="s">
        <v>661</v>
      </c>
      <c r="C333" t="s">
        <v>54</v>
      </c>
      <c r="D333" t="s">
        <v>124</v>
      </c>
      <c r="E333">
        <v>25</v>
      </c>
      <c r="F333" t="s">
        <v>96</v>
      </c>
      <c r="G333" t="s">
        <v>16</v>
      </c>
      <c r="H333" s="6" t="s">
        <v>1684</v>
      </c>
      <c r="I333" s="11">
        <v>63435.24</v>
      </c>
      <c r="J333" t="s">
        <v>197</v>
      </c>
      <c r="K333">
        <v>-4721970545</v>
      </c>
      <c r="L333" t="s">
        <v>41</v>
      </c>
      <c r="M333" t="b">
        <v>0</v>
      </c>
      <c r="N333" s="17">
        <f t="shared" si="5"/>
        <v>44324</v>
      </c>
      <c r="O333" t="str">
        <f>LEFT(Table1[[#This Row],[Department_Region]], FIND("-", Table1[[#This Row],[Department_Region]]) - 1)</f>
        <v>Cloud Tech</v>
      </c>
      <c r="P333" t="str">
        <f>RIGHT(Table1[[#This Row],[Department_Region]],LEN(Table1[[#This Row],[Department_Region]]) - FIND("-",Table1[[#This Row],[Department_Region]]))</f>
        <v>Illinois</v>
      </c>
      <c r="Q3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33" s="15"/>
    </row>
    <row r="334" spans="1:18" x14ac:dyDescent="0.2">
      <c r="A334" s="1">
        <v>332</v>
      </c>
      <c r="B334" s="6" t="s">
        <v>662</v>
      </c>
      <c r="C334" t="s">
        <v>37</v>
      </c>
      <c r="D334" t="s">
        <v>20</v>
      </c>
      <c r="E334">
        <v>35</v>
      </c>
      <c r="F334" t="s">
        <v>21</v>
      </c>
      <c r="G334" t="s">
        <v>33</v>
      </c>
      <c r="H334" s="6" t="s">
        <v>1788</v>
      </c>
      <c r="I334" s="11">
        <v>82129.84</v>
      </c>
      <c r="J334" t="s">
        <v>243</v>
      </c>
      <c r="K334">
        <v>-6927589550</v>
      </c>
      <c r="L334" t="s">
        <v>18</v>
      </c>
      <c r="M334" t="b">
        <v>0</v>
      </c>
      <c r="N334" s="17">
        <f t="shared" si="5"/>
        <v>44662</v>
      </c>
      <c r="O334" t="str">
        <f>LEFT(Table1[[#This Row],[Department_Region]], FIND("-", Table1[[#This Row],[Department_Region]]) - 1)</f>
        <v>Finance</v>
      </c>
      <c r="P334" t="str">
        <f>RIGHT(Table1[[#This Row],[Department_Region]],LEN(Table1[[#This Row],[Department_Region]]) - FIND("-",Table1[[#This Row],[Department_Region]]))</f>
        <v>Texas</v>
      </c>
      <c r="Q3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4" s="15"/>
    </row>
    <row r="335" spans="1:18" x14ac:dyDescent="0.2">
      <c r="A335" s="1">
        <v>333</v>
      </c>
      <c r="B335" s="6" t="s">
        <v>663</v>
      </c>
      <c r="C335" t="s">
        <v>59</v>
      </c>
      <c r="D335" t="s">
        <v>38</v>
      </c>
      <c r="E335">
        <v>35</v>
      </c>
      <c r="F335" t="s">
        <v>241</v>
      </c>
      <c r="G335" t="s">
        <v>28</v>
      </c>
      <c r="H335" s="6" t="s">
        <v>664</v>
      </c>
      <c r="I335" s="11">
        <v>95492.61</v>
      </c>
      <c r="J335" t="s">
        <v>61</v>
      </c>
      <c r="K335">
        <v>-6874090379</v>
      </c>
      <c r="L335" t="s">
        <v>30</v>
      </c>
      <c r="M335" t="b">
        <v>0</v>
      </c>
      <c r="N335" s="17">
        <f t="shared" si="5"/>
        <v>45588</v>
      </c>
      <c r="O335" t="str">
        <f>LEFT(Table1[[#This Row],[Department_Region]], FIND("-", Table1[[#This Row],[Department_Region]]) - 1)</f>
        <v>DevOps</v>
      </c>
      <c r="P335" t="str">
        <f>RIGHT(Table1[[#This Row],[Department_Region]],LEN(Table1[[#This Row],[Department_Region]]) - FIND("-",Table1[[#This Row],[Department_Region]]))</f>
        <v>Texas</v>
      </c>
      <c r="Q3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5" s="15"/>
    </row>
    <row r="336" spans="1:18" x14ac:dyDescent="0.2">
      <c r="A336" s="1">
        <v>334</v>
      </c>
      <c r="B336" s="6" t="s">
        <v>665</v>
      </c>
      <c r="C336" t="s">
        <v>69</v>
      </c>
      <c r="D336" t="s">
        <v>93</v>
      </c>
      <c r="E336">
        <v>40</v>
      </c>
      <c r="F336" t="s">
        <v>269</v>
      </c>
      <c r="G336" t="s">
        <v>33</v>
      </c>
      <c r="H336" s="6" t="s">
        <v>666</v>
      </c>
      <c r="I336" s="11">
        <v>94572.37</v>
      </c>
      <c r="J336" t="s">
        <v>170</v>
      </c>
      <c r="K336">
        <v>-2146296135</v>
      </c>
      <c r="L336" t="s">
        <v>30</v>
      </c>
      <c r="M336" t="b">
        <v>0</v>
      </c>
      <c r="N336" s="17">
        <f t="shared" si="5"/>
        <v>43945</v>
      </c>
      <c r="O336" t="str">
        <f>LEFT(Table1[[#This Row],[Department_Region]], FIND("-", Table1[[#This Row],[Department_Region]]) - 1)</f>
        <v>Finance</v>
      </c>
      <c r="P336" t="str">
        <f>RIGHT(Table1[[#This Row],[Department_Region]],LEN(Table1[[#This Row],[Department_Region]]) - FIND("-",Table1[[#This Row],[Department_Region]]))</f>
        <v>Illinois</v>
      </c>
      <c r="Q3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6" s="15"/>
    </row>
    <row r="337" spans="1:18" x14ac:dyDescent="0.2">
      <c r="A337" s="1">
        <v>335</v>
      </c>
      <c r="B337" s="6" t="s">
        <v>667</v>
      </c>
      <c r="C337" t="s">
        <v>13</v>
      </c>
      <c r="D337" t="s">
        <v>43</v>
      </c>
      <c r="E337">
        <v>40</v>
      </c>
      <c r="F337" t="s">
        <v>101</v>
      </c>
      <c r="G337" t="s">
        <v>33</v>
      </c>
      <c r="H337" s="6" t="s">
        <v>1789</v>
      </c>
      <c r="I337" s="11">
        <v>118413.05</v>
      </c>
      <c r="J337" t="s">
        <v>155</v>
      </c>
      <c r="K337">
        <v>-7157787111</v>
      </c>
      <c r="L337" t="s">
        <v>41</v>
      </c>
      <c r="M337" t="b">
        <v>0</v>
      </c>
      <c r="N337" s="17">
        <f t="shared" si="5"/>
        <v>44989</v>
      </c>
      <c r="O337" t="str">
        <f>LEFT(Table1[[#This Row],[Department_Region]], FIND("-", Table1[[#This Row],[Department_Region]]) - 1)</f>
        <v>Finance</v>
      </c>
      <c r="P337" t="str">
        <f>RIGHT(Table1[[#This Row],[Department_Region]],LEN(Table1[[#This Row],[Department_Region]]) - FIND("-",Table1[[#This Row],[Department_Region]]))</f>
        <v>Nevada</v>
      </c>
      <c r="Q3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37" s="15"/>
    </row>
    <row r="338" spans="1:18" x14ac:dyDescent="0.2">
      <c r="A338" s="1">
        <v>336</v>
      </c>
      <c r="B338" s="6" t="s">
        <v>668</v>
      </c>
      <c r="C338" t="s">
        <v>25</v>
      </c>
      <c r="D338" t="s">
        <v>26</v>
      </c>
      <c r="E338">
        <v>30</v>
      </c>
      <c r="F338" t="s">
        <v>27</v>
      </c>
      <c r="G338" t="s">
        <v>28</v>
      </c>
      <c r="H338" s="6" t="s">
        <v>669</v>
      </c>
      <c r="I338" s="11">
        <v>68976.649999999994</v>
      </c>
      <c r="J338" t="s">
        <v>29</v>
      </c>
      <c r="K338">
        <v>-1663651558</v>
      </c>
      <c r="L338" t="s">
        <v>41</v>
      </c>
      <c r="M338" t="b">
        <v>1</v>
      </c>
      <c r="N338" s="17">
        <f t="shared" si="5"/>
        <v>44804</v>
      </c>
      <c r="O338" t="str">
        <f>LEFT(Table1[[#This Row],[Department_Region]], FIND("-", Table1[[#This Row],[Department_Region]]) - 1)</f>
        <v>Admin</v>
      </c>
      <c r="P338" t="str">
        <f>RIGHT(Table1[[#This Row],[Department_Region]],LEN(Table1[[#This Row],[Department_Region]]) - FIND("-",Table1[[#This Row],[Department_Region]]))</f>
        <v>Nevada</v>
      </c>
      <c r="Q3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38" s="15"/>
    </row>
    <row r="339" spans="1:18" x14ac:dyDescent="0.2">
      <c r="A339" s="1">
        <v>337</v>
      </c>
      <c r="B339" s="6" t="s">
        <v>670</v>
      </c>
      <c r="C339" t="s">
        <v>32</v>
      </c>
      <c r="D339" t="s">
        <v>38</v>
      </c>
      <c r="E339">
        <v>32</v>
      </c>
      <c r="F339" t="s">
        <v>222</v>
      </c>
      <c r="G339" t="s">
        <v>16</v>
      </c>
      <c r="H339" s="6" t="s">
        <v>1790</v>
      </c>
      <c r="I339" s="11">
        <v>115013.65</v>
      </c>
      <c r="J339" t="s">
        <v>143</v>
      </c>
      <c r="K339">
        <v>-7371470826</v>
      </c>
      <c r="L339" t="s">
        <v>18</v>
      </c>
      <c r="M339" t="b">
        <v>0</v>
      </c>
      <c r="N339" s="17">
        <f t="shared" si="5"/>
        <v>44198</v>
      </c>
      <c r="O339" t="str">
        <f>LEFT(Table1[[#This Row],[Department_Region]], FIND("-", Table1[[#This Row],[Department_Region]]) - 1)</f>
        <v>Sales</v>
      </c>
      <c r="P339" t="str">
        <f>RIGHT(Table1[[#This Row],[Department_Region]],LEN(Table1[[#This Row],[Department_Region]]) - FIND("-",Table1[[#This Row],[Department_Region]]))</f>
        <v>Nevada</v>
      </c>
      <c r="Q3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39" s="15"/>
    </row>
    <row r="340" spans="1:18" x14ac:dyDescent="0.2">
      <c r="A340" s="1">
        <v>338</v>
      </c>
      <c r="B340" s="6" t="s">
        <v>671</v>
      </c>
      <c r="C340" t="s">
        <v>59</v>
      </c>
      <c r="D340" t="s">
        <v>20</v>
      </c>
      <c r="E340">
        <v>32</v>
      </c>
      <c r="F340" t="s">
        <v>27</v>
      </c>
      <c r="G340" t="s">
        <v>33</v>
      </c>
      <c r="H340" s="6" t="s">
        <v>1791</v>
      </c>
      <c r="I340" s="11">
        <v>70949.38</v>
      </c>
      <c r="J340" t="s">
        <v>228</v>
      </c>
      <c r="K340">
        <v>-2359096055</v>
      </c>
      <c r="L340" t="s">
        <v>41</v>
      </c>
      <c r="M340" t="b">
        <v>1</v>
      </c>
      <c r="N340" s="17">
        <f t="shared" si="5"/>
        <v>43988</v>
      </c>
      <c r="O340" t="str">
        <f>LEFT(Table1[[#This Row],[Department_Region]], FIND("-", Table1[[#This Row],[Department_Region]]) - 1)</f>
        <v>Admin</v>
      </c>
      <c r="P340" t="str">
        <f>RIGHT(Table1[[#This Row],[Department_Region]],LEN(Table1[[#This Row],[Department_Region]]) - FIND("-",Table1[[#This Row],[Department_Region]]))</f>
        <v>Nevada</v>
      </c>
      <c r="Q3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0" s="15"/>
    </row>
    <row r="341" spans="1:18" x14ac:dyDescent="0.2">
      <c r="A341" s="1">
        <v>339</v>
      </c>
      <c r="B341" s="6" t="s">
        <v>672</v>
      </c>
      <c r="C341" t="s">
        <v>69</v>
      </c>
      <c r="D341" t="s">
        <v>20</v>
      </c>
      <c r="E341">
        <v>32</v>
      </c>
      <c r="F341" t="s">
        <v>215</v>
      </c>
      <c r="G341" t="s">
        <v>28</v>
      </c>
      <c r="H341" s="6" t="s">
        <v>370</v>
      </c>
      <c r="I341" s="11">
        <v>105334.87</v>
      </c>
      <c r="J341" t="s">
        <v>204</v>
      </c>
      <c r="K341">
        <v>-7303064420</v>
      </c>
      <c r="L341" t="s">
        <v>18</v>
      </c>
      <c r="M341" t="b">
        <v>0</v>
      </c>
      <c r="N341" s="17">
        <f t="shared" si="5"/>
        <v>44117</v>
      </c>
      <c r="O341" t="str">
        <f>LEFT(Table1[[#This Row],[Department_Region]], FIND("-", Table1[[#This Row],[Department_Region]]) - 1)</f>
        <v>HR</v>
      </c>
      <c r="P341" t="str">
        <f>RIGHT(Table1[[#This Row],[Department_Region]],LEN(Table1[[#This Row],[Department_Region]]) - FIND("-",Table1[[#This Row],[Department_Region]]))</f>
        <v>Florida</v>
      </c>
      <c r="Q3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41" s="15"/>
    </row>
    <row r="342" spans="1:18" x14ac:dyDescent="0.2">
      <c r="A342" s="1">
        <v>340</v>
      </c>
      <c r="B342" s="6" t="s">
        <v>673</v>
      </c>
      <c r="C342" t="s">
        <v>13</v>
      </c>
      <c r="D342" t="s">
        <v>38</v>
      </c>
      <c r="E342">
        <v>32</v>
      </c>
      <c r="F342" t="s">
        <v>15</v>
      </c>
      <c r="G342" t="s">
        <v>16</v>
      </c>
      <c r="H342" s="6" t="s">
        <v>674</v>
      </c>
      <c r="I342" s="11">
        <v>80596.179999999993</v>
      </c>
      <c r="J342" t="s">
        <v>146</v>
      </c>
      <c r="K342">
        <v>-2146147682</v>
      </c>
      <c r="L342" t="s">
        <v>30</v>
      </c>
      <c r="M342" t="b">
        <v>0</v>
      </c>
      <c r="N342" s="17">
        <f t="shared" si="5"/>
        <v>44031</v>
      </c>
      <c r="O342" t="str">
        <f>LEFT(Table1[[#This Row],[Department_Region]], FIND("-", Table1[[#This Row],[Department_Region]]) - 1)</f>
        <v>DevOps</v>
      </c>
      <c r="P342" t="str">
        <f>RIGHT(Table1[[#This Row],[Department_Region]],LEN(Table1[[#This Row],[Department_Region]]) - FIND("-",Table1[[#This Row],[Department_Region]]))</f>
        <v>California</v>
      </c>
      <c r="Q3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42" s="15"/>
    </row>
    <row r="343" spans="1:18" x14ac:dyDescent="0.2">
      <c r="A343" s="1">
        <v>341</v>
      </c>
      <c r="B343" s="6" t="s">
        <v>675</v>
      </c>
      <c r="C343" t="s">
        <v>37</v>
      </c>
      <c r="D343" t="s">
        <v>20</v>
      </c>
      <c r="E343">
        <v>32</v>
      </c>
      <c r="F343" t="s">
        <v>99</v>
      </c>
      <c r="G343" t="s">
        <v>33</v>
      </c>
      <c r="H343" s="6" t="s">
        <v>1792</v>
      </c>
      <c r="I343" s="11">
        <v>72846.37</v>
      </c>
      <c r="J343" t="s">
        <v>243</v>
      </c>
      <c r="K343">
        <v>-4201654234</v>
      </c>
      <c r="L343" t="s">
        <v>30</v>
      </c>
      <c r="M343" t="b">
        <v>1</v>
      </c>
      <c r="N343" s="17">
        <f t="shared" si="5"/>
        <v>45415</v>
      </c>
      <c r="O343" t="str">
        <f>LEFT(Table1[[#This Row],[Department_Region]], FIND("-", Table1[[#This Row],[Department_Region]]) - 1)</f>
        <v>Sales</v>
      </c>
      <c r="P343" t="str">
        <f>RIGHT(Table1[[#This Row],[Department_Region]],LEN(Table1[[#This Row],[Department_Region]]) - FIND("-",Table1[[#This Row],[Department_Region]]))</f>
        <v>Illinois</v>
      </c>
      <c r="Q3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3" s="15"/>
    </row>
    <row r="344" spans="1:18" x14ac:dyDescent="0.2">
      <c r="A344" s="1">
        <v>342</v>
      </c>
      <c r="B344" s="6" t="s">
        <v>676</v>
      </c>
      <c r="C344" t="s">
        <v>65</v>
      </c>
      <c r="D344" t="s">
        <v>38</v>
      </c>
      <c r="E344">
        <v>40</v>
      </c>
      <c r="F344" t="s">
        <v>120</v>
      </c>
      <c r="G344" t="s">
        <v>28</v>
      </c>
      <c r="H344" s="6" t="s">
        <v>1793</v>
      </c>
      <c r="I344" s="11">
        <v>80229.36</v>
      </c>
      <c r="J344" t="s">
        <v>67</v>
      </c>
      <c r="K344">
        <v>-6778265959</v>
      </c>
      <c r="L344" t="s">
        <v>23</v>
      </c>
      <c r="M344" t="b">
        <v>0</v>
      </c>
      <c r="N344" s="17">
        <f t="shared" si="5"/>
        <v>44599</v>
      </c>
      <c r="O344" t="str">
        <f>LEFT(Table1[[#This Row],[Department_Region]], FIND("-", Table1[[#This Row],[Department_Region]]) - 1)</f>
        <v>Admin</v>
      </c>
      <c r="P344" t="str">
        <f>RIGHT(Table1[[#This Row],[Department_Region]],LEN(Table1[[#This Row],[Department_Region]]) - FIND("-",Table1[[#This Row],[Department_Region]]))</f>
        <v>California</v>
      </c>
      <c r="Q3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44" s="15"/>
    </row>
    <row r="345" spans="1:18" x14ac:dyDescent="0.2">
      <c r="A345" s="1">
        <v>343</v>
      </c>
      <c r="B345" s="6" t="s">
        <v>677</v>
      </c>
      <c r="C345" t="s">
        <v>69</v>
      </c>
      <c r="D345" t="s">
        <v>55</v>
      </c>
      <c r="E345">
        <v>25</v>
      </c>
      <c r="F345" t="s">
        <v>180</v>
      </c>
      <c r="G345" t="s">
        <v>16</v>
      </c>
      <c r="H345" s="6" t="s">
        <v>678</v>
      </c>
      <c r="I345" s="11">
        <v>55145.47</v>
      </c>
      <c r="J345" t="s">
        <v>129</v>
      </c>
      <c r="K345">
        <v>-8931992549</v>
      </c>
      <c r="L345" t="s">
        <v>30</v>
      </c>
      <c r="M345" t="b">
        <v>0</v>
      </c>
      <c r="N345" s="17">
        <f t="shared" si="5"/>
        <v>45291</v>
      </c>
      <c r="O345" t="str">
        <f>LEFT(Table1[[#This Row],[Department_Region]], FIND("-", Table1[[#This Row],[Department_Region]]) - 1)</f>
        <v>Sales</v>
      </c>
      <c r="P345" t="str">
        <f>RIGHT(Table1[[#This Row],[Department_Region]],LEN(Table1[[#This Row],[Department_Region]]) - FIND("-",Table1[[#This Row],[Department_Region]]))</f>
        <v>California</v>
      </c>
      <c r="Q3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5" s="15"/>
    </row>
    <row r="346" spans="1:18" x14ac:dyDescent="0.2">
      <c r="A346" s="1">
        <v>344</v>
      </c>
      <c r="B346" s="6" t="s">
        <v>679</v>
      </c>
      <c r="C346" t="s">
        <v>69</v>
      </c>
      <c r="D346" t="s">
        <v>38</v>
      </c>
      <c r="E346">
        <v>30</v>
      </c>
      <c r="F346" t="s">
        <v>233</v>
      </c>
      <c r="G346" t="s">
        <v>33</v>
      </c>
      <c r="H346" s="6" t="s">
        <v>1794</v>
      </c>
      <c r="I346" s="11">
        <v>85165.05</v>
      </c>
      <c r="J346" t="s">
        <v>72</v>
      </c>
      <c r="K346">
        <v>-2727516479</v>
      </c>
      <c r="L346" t="s">
        <v>41</v>
      </c>
      <c r="M346" t="b">
        <v>1</v>
      </c>
      <c r="N346" s="17">
        <f t="shared" si="5"/>
        <v>44569</v>
      </c>
      <c r="O346" t="str">
        <f>LEFT(Table1[[#This Row],[Department_Region]], FIND("-", Table1[[#This Row],[Department_Region]]) - 1)</f>
        <v>DevOps</v>
      </c>
      <c r="P346" t="str">
        <f>RIGHT(Table1[[#This Row],[Department_Region]],LEN(Table1[[#This Row],[Department_Region]]) - FIND("-",Table1[[#This Row],[Department_Region]]))</f>
        <v>Florida</v>
      </c>
      <c r="Q3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6" s="15"/>
    </row>
    <row r="347" spans="1:18" x14ac:dyDescent="0.2">
      <c r="A347" s="1">
        <v>345</v>
      </c>
      <c r="B347" s="6" t="s">
        <v>680</v>
      </c>
      <c r="C347" t="s">
        <v>32</v>
      </c>
      <c r="D347" t="s">
        <v>14</v>
      </c>
      <c r="E347">
        <v>40</v>
      </c>
      <c r="F347" t="s">
        <v>148</v>
      </c>
      <c r="G347" t="s">
        <v>16</v>
      </c>
      <c r="H347" s="6" t="s">
        <v>681</v>
      </c>
      <c r="I347" s="11">
        <v>56110.81</v>
      </c>
      <c r="J347" t="s">
        <v>35</v>
      </c>
      <c r="K347">
        <v>-7279103367</v>
      </c>
      <c r="L347" t="s">
        <v>30</v>
      </c>
      <c r="M347" t="b">
        <v>0</v>
      </c>
      <c r="N347" s="17">
        <f t="shared" si="5"/>
        <v>44102</v>
      </c>
      <c r="O347" t="str">
        <f>LEFT(Table1[[#This Row],[Department_Region]], FIND("-", Table1[[#This Row],[Department_Region]]) - 1)</f>
        <v>HR</v>
      </c>
      <c r="P347" t="str">
        <f>RIGHT(Table1[[#This Row],[Department_Region]],LEN(Table1[[#This Row],[Department_Region]]) - FIND("-",Table1[[#This Row],[Department_Region]]))</f>
        <v>California</v>
      </c>
      <c r="Q3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7" s="15"/>
    </row>
    <row r="348" spans="1:18" x14ac:dyDescent="0.2">
      <c r="A348" s="1">
        <v>346</v>
      </c>
      <c r="B348" s="6" t="s">
        <v>682</v>
      </c>
      <c r="C348" t="s">
        <v>69</v>
      </c>
      <c r="D348" t="s">
        <v>38</v>
      </c>
      <c r="E348">
        <v>25</v>
      </c>
      <c r="F348" t="s">
        <v>161</v>
      </c>
      <c r="G348" t="s">
        <v>33</v>
      </c>
      <c r="H348" s="6" t="s">
        <v>1795</v>
      </c>
      <c r="I348" s="11">
        <v>56514.5</v>
      </c>
      <c r="J348" t="s">
        <v>72</v>
      </c>
      <c r="K348">
        <v>-2963533904</v>
      </c>
      <c r="L348" t="s">
        <v>18</v>
      </c>
      <c r="M348" t="b">
        <v>0</v>
      </c>
      <c r="N348" s="17">
        <f t="shared" si="5"/>
        <v>44966</v>
      </c>
      <c r="O348" t="str">
        <f>LEFT(Table1[[#This Row],[Department_Region]], FIND("-", Table1[[#This Row],[Department_Region]]) - 1)</f>
        <v>Cloud Tech</v>
      </c>
      <c r="P348" t="str">
        <f>RIGHT(Table1[[#This Row],[Department_Region]],LEN(Table1[[#This Row],[Department_Region]]) - FIND("-",Table1[[#This Row],[Department_Region]]))</f>
        <v>Texas</v>
      </c>
      <c r="Q3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48" s="15"/>
    </row>
    <row r="349" spans="1:18" x14ac:dyDescent="0.2">
      <c r="A349" s="1">
        <v>347</v>
      </c>
      <c r="B349" s="6" t="s">
        <v>683</v>
      </c>
      <c r="C349" t="s">
        <v>37</v>
      </c>
      <c r="D349" t="s">
        <v>20</v>
      </c>
      <c r="E349">
        <v>40</v>
      </c>
      <c r="F349" t="s">
        <v>272</v>
      </c>
      <c r="G349" t="s">
        <v>33</v>
      </c>
      <c r="H349" s="6" t="s">
        <v>1796</v>
      </c>
      <c r="I349" s="11">
        <v>104541.84</v>
      </c>
      <c r="J349" t="s">
        <v>243</v>
      </c>
      <c r="K349">
        <v>-5044817765</v>
      </c>
      <c r="L349" t="s">
        <v>30</v>
      </c>
      <c r="M349" t="b">
        <v>0</v>
      </c>
      <c r="N349" s="17">
        <f t="shared" si="5"/>
        <v>44625</v>
      </c>
      <c r="O349" t="str">
        <f>LEFT(Table1[[#This Row],[Department_Region]], FIND("-", Table1[[#This Row],[Department_Region]]) - 1)</f>
        <v>Cloud Tech</v>
      </c>
      <c r="P349" t="str">
        <f>RIGHT(Table1[[#This Row],[Department_Region]],LEN(Table1[[#This Row],[Department_Region]]) - FIND("-",Table1[[#This Row],[Department_Region]]))</f>
        <v>California</v>
      </c>
      <c r="Q3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49" s="15"/>
    </row>
    <row r="350" spans="1:18" x14ac:dyDescent="0.2">
      <c r="A350" s="1">
        <v>348</v>
      </c>
      <c r="B350" s="6" t="s">
        <v>684</v>
      </c>
      <c r="C350" t="s">
        <v>59</v>
      </c>
      <c r="D350" t="s">
        <v>43</v>
      </c>
      <c r="E350">
        <v>32</v>
      </c>
      <c r="F350" t="s">
        <v>110</v>
      </c>
      <c r="G350" t="s">
        <v>28</v>
      </c>
      <c r="H350" s="6" t="s">
        <v>685</v>
      </c>
      <c r="I350" s="11">
        <v>61865.120000000003</v>
      </c>
      <c r="J350" t="s">
        <v>102</v>
      </c>
      <c r="K350">
        <v>-5586851275</v>
      </c>
      <c r="L350" t="s">
        <v>23</v>
      </c>
      <c r="M350" t="b">
        <v>1</v>
      </c>
      <c r="N350" s="17">
        <f t="shared" si="5"/>
        <v>44610</v>
      </c>
      <c r="O350" t="str">
        <f>LEFT(Table1[[#This Row],[Department_Region]], FIND("-", Table1[[#This Row],[Department_Region]]) - 1)</f>
        <v>Sales</v>
      </c>
      <c r="P350" t="str">
        <f>RIGHT(Table1[[#This Row],[Department_Region]],LEN(Table1[[#This Row],[Department_Region]]) - FIND("-",Table1[[#This Row],[Department_Region]]))</f>
        <v>New York</v>
      </c>
      <c r="Q3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0" s="15"/>
    </row>
    <row r="351" spans="1:18" x14ac:dyDescent="0.2">
      <c r="A351" s="1">
        <v>349</v>
      </c>
      <c r="B351" s="6" t="s">
        <v>686</v>
      </c>
      <c r="C351" t="s">
        <v>32</v>
      </c>
      <c r="D351" t="s">
        <v>14</v>
      </c>
      <c r="E351">
        <v>40</v>
      </c>
      <c r="F351" t="s">
        <v>104</v>
      </c>
      <c r="G351" t="s">
        <v>16</v>
      </c>
      <c r="H351" s="6" t="s">
        <v>1797</v>
      </c>
      <c r="I351" s="11">
        <v>69317.33</v>
      </c>
      <c r="J351" t="s">
        <v>35</v>
      </c>
      <c r="K351">
        <v>-5289286645</v>
      </c>
      <c r="L351" t="s">
        <v>30</v>
      </c>
      <c r="M351" t="b">
        <v>0</v>
      </c>
      <c r="N351" s="17">
        <f t="shared" si="5"/>
        <v>44721</v>
      </c>
      <c r="O351" t="str">
        <f>LEFT(Table1[[#This Row],[Department_Region]], FIND("-", Table1[[#This Row],[Department_Region]]) - 1)</f>
        <v>Admin</v>
      </c>
      <c r="P351" t="str">
        <f>RIGHT(Table1[[#This Row],[Department_Region]],LEN(Table1[[#This Row],[Department_Region]]) - FIND("-",Table1[[#This Row],[Department_Region]]))</f>
        <v>Texas</v>
      </c>
      <c r="Q3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1" s="15"/>
    </row>
    <row r="352" spans="1:18" x14ac:dyDescent="0.2">
      <c r="A352" s="1">
        <v>350</v>
      </c>
      <c r="B352" s="6" t="s">
        <v>687</v>
      </c>
      <c r="C352" t="s">
        <v>13</v>
      </c>
      <c r="D352" t="s">
        <v>20</v>
      </c>
      <c r="E352">
        <v>35</v>
      </c>
      <c r="F352" t="s">
        <v>66</v>
      </c>
      <c r="G352" t="s">
        <v>28</v>
      </c>
      <c r="H352" s="6" t="s">
        <v>1798</v>
      </c>
      <c r="I352" s="11">
        <v>84706.17</v>
      </c>
      <c r="J352" t="s">
        <v>22</v>
      </c>
      <c r="K352">
        <v>-4911110960</v>
      </c>
      <c r="L352" t="s">
        <v>18</v>
      </c>
      <c r="M352" t="b">
        <v>0</v>
      </c>
      <c r="N352" s="17">
        <f t="shared" si="5"/>
        <v>45111</v>
      </c>
      <c r="O352" t="str">
        <f>LEFT(Table1[[#This Row],[Department_Region]], FIND("-", Table1[[#This Row],[Department_Region]]) - 1)</f>
        <v>HR</v>
      </c>
      <c r="P352" t="str">
        <f>RIGHT(Table1[[#This Row],[Department_Region]],LEN(Table1[[#This Row],[Department_Region]]) - FIND("-",Table1[[#This Row],[Department_Region]]))</f>
        <v>New York</v>
      </c>
      <c r="Q3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2" s="15"/>
    </row>
    <row r="353" spans="1:18" x14ac:dyDescent="0.2">
      <c r="A353" s="1">
        <v>351</v>
      </c>
      <c r="B353" s="6" t="s">
        <v>688</v>
      </c>
      <c r="C353" t="s">
        <v>65</v>
      </c>
      <c r="D353" t="s">
        <v>124</v>
      </c>
      <c r="E353">
        <v>25</v>
      </c>
      <c r="F353" t="s">
        <v>120</v>
      </c>
      <c r="G353" t="s">
        <v>16</v>
      </c>
      <c r="H353" s="6" t="s">
        <v>689</v>
      </c>
      <c r="I353" s="11">
        <v>73255.210000000006</v>
      </c>
      <c r="J353" t="s">
        <v>372</v>
      </c>
      <c r="K353">
        <v>-7981789045</v>
      </c>
      <c r="L353" t="s">
        <v>18</v>
      </c>
      <c r="M353" t="b">
        <v>0</v>
      </c>
      <c r="N353" s="17">
        <f t="shared" si="5"/>
        <v>44641</v>
      </c>
      <c r="O353" t="str">
        <f>LEFT(Table1[[#This Row],[Department_Region]], FIND("-", Table1[[#This Row],[Department_Region]]) - 1)</f>
        <v>Admin</v>
      </c>
      <c r="P353" t="str">
        <f>RIGHT(Table1[[#This Row],[Department_Region]],LEN(Table1[[#This Row],[Department_Region]]) - FIND("-",Table1[[#This Row],[Department_Region]]))</f>
        <v>California</v>
      </c>
      <c r="Q3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3" s="15"/>
    </row>
    <row r="354" spans="1:18" x14ac:dyDescent="0.2">
      <c r="A354" s="1">
        <v>352</v>
      </c>
      <c r="B354" s="6" t="s">
        <v>690</v>
      </c>
      <c r="C354" t="s">
        <v>37</v>
      </c>
      <c r="D354" t="s">
        <v>124</v>
      </c>
      <c r="E354">
        <v>40</v>
      </c>
      <c r="F354" t="s">
        <v>215</v>
      </c>
      <c r="G354" t="s">
        <v>28</v>
      </c>
      <c r="H354" s="6" t="s">
        <v>1692</v>
      </c>
      <c r="I354" s="11">
        <v>59528.71</v>
      </c>
      <c r="J354" t="s">
        <v>139</v>
      </c>
      <c r="K354">
        <v>-3378613714</v>
      </c>
      <c r="L354" t="s">
        <v>41</v>
      </c>
      <c r="M354" t="b">
        <v>0</v>
      </c>
      <c r="N354" s="17">
        <f t="shared" si="5"/>
        <v>45048</v>
      </c>
      <c r="O354" t="str">
        <f>LEFT(Table1[[#This Row],[Department_Region]], FIND("-", Table1[[#This Row],[Department_Region]]) - 1)</f>
        <v>HR</v>
      </c>
      <c r="P354" t="str">
        <f>RIGHT(Table1[[#This Row],[Department_Region]],LEN(Table1[[#This Row],[Department_Region]]) - FIND("-",Table1[[#This Row],[Department_Region]]))</f>
        <v>Florida</v>
      </c>
      <c r="Q3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4" s="15"/>
    </row>
    <row r="355" spans="1:18" x14ac:dyDescent="0.2">
      <c r="A355" s="1">
        <v>353</v>
      </c>
      <c r="B355" s="6" t="s">
        <v>691</v>
      </c>
      <c r="C355" t="s">
        <v>59</v>
      </c>
      <c r="D355" t="s">
        <v>43</v>
      </c>
      <c r="E355">
        <v>40</v>
      </c>
      <c r="F355" t="s">
        <v>66</v>
      </c>
      <c r="G355" t="s">
        <v>33</v>
      </c>
      <c r="H355" s="6" t="s">
        <v>692</v>
      </c>
      <c r="I355" s="11">
        <v>70401.37</v>
      </c>
      <c r="J355" t="s">
        <v>102</v>
      </c>
      <c r="K355">
        <v>-7660538443</v>
      </c>
      <c r="L355" t="s">
        <v>30</v>
      </c>
      <c r="M355" t="b">
        <v>1</v>
      </c>
      <c r="N355" s="17">
        <f t="shared" si="5"/>
        <v>44484</v>
      </c>
      <c r="O355" t="str">
        <f>LEFT(Table1[[#This Row],[Department_Region]], FIND("-", Table1[[#This Row],[Department_Region]]) - 1)</f>
        <v>HR</v>
      </c>
      <c r="P355" t="str">
        <f>RIGHT(Table1[[#This Row],[Department_Region]],LEN(Table1[[#This Row],[Department_Region]]) - FIND("-",Table1[[#This Row],[Department_Region]]))</f>
        <v>New York</v>
      </c>
      <c r="Q3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5" s="15"/>
    </row>
    <row r="356" spans="1:18" x14ac:dyDescent="0.2">
      <c r="A356" s="1">
        <v>354</v>
      </c>
      <c r="B356" s="6" t="s">
        <v>693</v>
      </c>
      <c r="C356" t="s">
        <v>65</v>
      </c>
      <c r="D356" t="s">
        <v>43</v>
      </c>
      <c r="E356">
        <v>32</v>
      </c>
      <c r="F356" t="s">
        <v>120</v>
      </c>
      <c r="G356" t="s">
        <v>33</v>
      </c>
      <c r="H356" s="6" t="s">
        <v>694</v>
      </c>
      <c r="I356" s="11">
        <v>107154.62</v>
      </c>
      <c r="J356" t="s">
        <v>261</v>
      </c>
      <c r="K356">
        <v>-4630600024</v>
      </c>
      <c r="L356" t="s">
        <v>18</v>
      </c>
      <c r="M356" t="b">
        <v>1</v>
      </c>
      <c r="N356" s="17">
        <f t="shared" si="5"/>
        <v>44405</v>
      </c>
      <c r="O356" t="str">
        <f>LEFT(Table1[[#This Row],[Department_Region]], FIND("-", Table1[[#This Row],[Department_Region]]) - 1)</f>
        <v>Admin</v>
      </c>
      <c r="P356" t="str">
        <f>RIGHT(Table1[[#This Row],[Department_Region]],LEN(Table1[[#This Row],[Department_Region]]) - FIND("-",Table1[[#This Row],[Department_Region]]))</f>
        <v>California</v>
      </c>
      <c r="Q3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56" s="15"/>
    </row>
    <row r="357" spans="1:18" x14ac:dyDescent="0.2">
      <c r="A357" s="1">
        <v>355</v>
      </c>
      <c r="B357" s="6" t="s">
        <v>695</v>
      </c>
      <c r="C357" t="s">
        <v>13</v>
      </c>
      <c r="D357" t="s">
        <v>14</v>
      </c>
      <c r="E357">
        <v>32</v>
      </c>
      <c r="F357" t="s">
        <v>90</v>
      </c>
      <c r="G357" t="s">
        <v>28</v>
      </c>
      <c r="H357" s="6" t="s">
        <v>1799</v>
      </c>
      <c r="I357" s="11">
        <v>97719.88</v>
      </c>
      <c r="J357" t="s">
        <v>17</v>
      </c>
      <c r="K357">
        <v>-8955296385</v>
      </c>
      <c r="L357" t="s">
        <v>23</v>
      </c>
      <c r="M357" t="b">
        <v>0</v>
      </c>
      <c r="N357" s="17">
        <f t="shared" si="5"/>
        <v>44199</v>
      </c>
      <c r="O357" t="str">
        <f>LEFT(Table1[[#This Row],[Department_Region]], FIND("-", Table1[[#This Row],[Department_Region]]) - 1)</f>
        <v>Admin</v>
      </c>
      <c r="P357" t="str">
        <f>RIGHT(Table1[[#This Row],[Department_Region]],LEN(Table1[[#This Row],[Department_Region]]) - FIND("-",Table1[[#This Row],[Department_Region]]))</f>
        <v>Illinois</v>
      </c>
      <c r="Q3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57" s="15"/>
    </row>
    <row r="358" spans="1:18" x14ac:dyDescent="0.2">
      <c r="A358" s="1">
        <v>356</v>
      </c>
      <c r="B358" s="6" t="s">
        <v>696</v>
      </c>
      <c r="C358" t="s">
        <v>65</v>
      </c>
      <c r="D358" t="s">
        <v>55</v>
      </c>
      <c r="E358">
        <v>30</v>
      </c>
      <c r="F358" t="s">
        <v>70</v>
      </c>
      <c r="G358" t="s">
        <v>28</v>
      </c>
      <c r="H358" s="6" t="s">
        <v>255</v>
      </c>
      <c r="I358" s="11">
        <v>107327.59</v>
      </c>
      <c r="J358" t="s">
        <v>114</v>
      </c>
      <c r="K358">
        <v>-3960962625</v>
      </c>
      <c r="L358" t="s">
        <v>41</v>
      </c>
      <c r="M358" t="b">
        <v>0</v>
      </c>
      <c r="N358" s="17">
        <f t="shared" si="5"/>
        <v>43972</v>
      </c>
      <c r="O358" t="str">
        <f>LEFT(Table1[[#This Row],[Department_Region]], FIND("-", Table1[[#This Row],[Department_Region]]) - 1)</f>
        <v>Finance</v>
      </c>
      <c r="P358" t="str">
        <f>RIGHT(Table1[[#This Row],[Department_Region]],LEN(Table1[[#This Row],[Department_Region]]) - FIND("-",Table1[[#This Row],[Department_Region]]))</f>
        <v>California</v>
      </c>
      <c r="Q3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58" s="15"/>
    </row>
    <row r="359" spans="1:18" x14ac:dyDescent="0.2">
      <c r="A359" s="1">
        <v>357</v>
      </c>
      <c r="B359" s="6" t="s">
        <v>697</v>
      </c>
      <c r="C359" t="s">
        <v>69</v>
      </c>
      <c r="D359" t="s">
        <v>43</v>
      </c>
      <c r="E359">
        <v>40</v>
      </c>
      <c r="F359" t="s">
        <v>27</v>
      </c>
      <c r="G359" t="s">
        <v>33</v>
      </c>
      <c r="H359" s="6" t="s">
        <v>1800</v>
      </c>
      <c r="I359" s="11">
        <v>67687.72</v>
      </c>
      <c r="J359" t="s">
        <v>84</v>
      </c>
      <c r="K359">
        <v>-5826312818</v>
      </c>
      <c r="L359" t="s">
        <v>23</v>
      </c>
      <c r="M359" t="b">
        <v>1</v>
      </c>
      <c r="N359" s="17">
        <f t="shared" si="5"/>
        <v>44326</v>
      </c>
      <c r="O359" t="str">
        <f>LEFT(Table1[[#This Row],[Department_Region]], FIND("-", Table1[[#This Row],[Department_Region]]) - 1)</f>
        <v>Admin</v>
      </c>
      <c r="P359" t="str">
        <f>RIGHT(Table1[[#This Row],[Department_Region]],LEN(Table1[[#This Row],[Department_Region]]) - FIND("-",Table1[[#This Row],[Department_Region]]))</f>
        <v>Nevada</v>
      </c>
      <c r="Q3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59" s="15"/>
    </row>
    <row r="360" spans="1:18" x14ac:dyDescent="0.2">
      <c r="A360" s="1">
        <v>358</v>
      </c>
      <c r="B360" s="6" t="s">
        <v>698</v>
      </c>
      <c r="C360" t="s">
        <v>69</v>
      </c>
      <c r="D360" t="s">
        <v>124</v>
      </c>
      <c r="E360">
        <v>40</v>
      </c>
      <c r="F360" t="s">
        <v>39</v>
      </c>
      <c r="G360" t="s">
        <v>28</v>
      </c>
      <c r="H360" s="6" t="s">
        <v>1801</v>
      </c>
      <c r="I360" s="11">
        <v>90757.08</v>
      </c>
      <c r="J360" t="s">
        <v>137</v>
      </c>
      <c r="K360">
        <v>-6482531105</v>
      </c>
      <c r="L360" t="s">
        <v>30</v>
      </c>
      <c r="M360" t="b">
        <v>1</v>
      </c>
      <c r="N360" s="17">
        <f t="shared" si="5"/>
        <v>44812</v>
      </c>
      <c r="O360" t="str">
        <f>LEFT(Table1[[#This Row],[Department_Region]], FIND("-", Table1[[#This Row],[Department_Region]]) - 1)</f>
        <v>Cloud Tech</v>
      </c>
      <c r="P360" t="str">
        <f>RIGHT(Table1[[#This Row],[Department_Region]],LEN(Table1[[#This Row],[Department_Region]]) - FIND("-",Table1[[#This Row],[Department_Region]]))</f>
        <v>Florida</v>
      </c>
      <c r="Q3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60" s="15"/>
    </row>
    <row r="361" spans="1:18" x14ac:dyDescent="0.2">
      <c r="A361" s="1">
        <v>359</v>
      </c>
      <c r="B361" s="6" t="s">
        <v>699</v>
      </c>
      <c r="C361" t="s">
        <v>69</v>
      </c>
      <c r="D361" t="s">
        <v>38</v>
      </c>
      <c r="E361">
        <v>32</v>
      </c>
      <c r="F361" t="s">
        <v>272</v>
      </c>
      <c r="G361" t="s">
        <v>28</v>
      </c>
      <c r="H361" s="6" t="s">
        <v>700</v>
      </c>
      <c r="I361" s="11">
        <v>87583.42</v>
      </c>
      <c r="J361" t="s">
        <v>72</v>
      </c>
      <c r="K361">
        <v>-920981959</v>
      </c>
      <c r="L361" t="s">
        <v>30</v>
      </c>
      <c r="M361" t="b">
        <v>0</v>
      </c>
      <c r="N361" s="17">
        <f t="shared" si="5"/>
        <v>45494</v>
      </c>
      <c r="O361" t="str">
        <f>LEFT(Table1[[#This Row],[Department_Region]], FIND("-", Table1[[#This Row],[Department_Region]]) - 1)</f>
        <v>Cloud Tech</v>
      </c>
      <c r="P361" t="str">
        <f>RIGHT(Table1[[#This Row],[Department_Region]],LEN(Table1[[#This Row],[Department_Region]]) - FIND("-",Table1[[#This Row],[Department_Region]]))</f>
        <v>California</v>
      </c>
      <c r="Q3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61" s="15"/>
    </row>
    <row r="362" spans="1:18" x14ac:dyDescent="0.2">
      <c r="A362" s="1">
        <v>360</v>
      </c>
      <c r="B362" s="6" t="s">
        <v>701</v>
      </c>
      <c r="C362" t="s">
        <v>13</v>
      </c>
      <c r="D362" t="s">
        <v>20</v>
      </c>
      <c r="E362">
        <v>25</v>
      </c>
      <c r="F362" t="s">
        <v>27</v>
      </c>
      <c r="G362" t="s">
        <v>28</v>
      </c>
      <c r="H362" s="6" t="s">
        <v>702</v>
      </c>
      <c r="I362" s="11">
        <v>61643.69</v>
      </c>
      <c r="J362" t="s">
        <v>22</v>
      </c>
      <c r="K362">
        <v>-2752334382</v>
      </c>
      <c r="L362" t="s">
        <v>30</v>
      </c>
      <c r="M362" t="b">
        <v>1</v>
      </c>
      <c r="N362" s="17">
        <f t="shared" si="5"/>
        <v>44558</v>
      </c>
      <c r="O362" t="str">
        <f>LEFT(Table1[[#This Row],[Department_Region]], FIND("-", Table1[[#This Row],[Department_Region]]) - 1)</f>
        <v>Admin</v>
      </c>
      <c r="P362" t="str">
        <f>RIGHT(Table1[[#This Row],[Department_Region]],LEN(Table1[[#This Row],[Department_Region]]) - FIND("-",Table1[[#This Row],[Department_Region]]))</f>
        <v>Nevada</v>
      </c>
      <c r="Q3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62" s="15"/>
    </row>
    <row r="363" spans="1:18" x14ac:dyDescent="0.2">
      <c r="A363" s="1">
        <v>361</v>
      </c>
      <c r="B363" s="6" t="s">
        <v>703</v>
      </c>
      <c r="C363" t="s">
        <v>69</v>
      </c>
      <c r="D363" t="s">
        <v>124</v>
      </c>
      <c r="E363">
        <v>35</v>
      </c>
      <c r="F363" t="s">
        <v>21</v>
      </c>
      <c r="G363" t="s">
        <v>16</v>
      </c>
      <c r="H363" s="6" t="s">
        <v>704</v>
      </c>
      <c r="I363" s="11">
        <v>68111.69</v>
      </c>
      <c r="J363" t="s">
        <v>137</v>
      </c>
      <c r="K363">
        <v>-6404120910</v>
      </c>
      <c r="L363" t="s">
        <v>41</v>
      </c>
      <c r="M363" t="b">
        <v>0</v>
      </c>
      <c r="N363" s="17">
        <f t="shared" si="5"/>
        <v>44032</v>
      </c>
      <c r="O363" t="str">
        <f>LEFT(Table1[[#This Row],[Department_Region]], FIND("-", Table1[[#This Row],[Department_Region]]) - 1)</f>
        <v>Finance</v>
      </c>
      <c r="P363" t="str">
        <f>RIGHT(Table1[[#This Row],[Department_Region]],LEN(Table1[[#This Row],[Department_Region]]) - FIND("-",Table1[[#This Row],[Department_Region]]))</f>
        <v>Texas</v>
      </c>
      <c r="Q3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63" s="15"/>
    </row>
    <row r="364" spans="1:18" x14ac:dyDescent="0.2">
      <c r="A364" s="1">
        <v>362</v>
      </c>
      <c r="B364" s="6" t="s">
        <v>705</v>
      </c>
      <c r="C364" t="s">
        <v>59</v>
      </c>
      <c r="D364" t="s">
        <v>124</v>
      </c>
      <c r="E364">
        <v>40</v>
      </c>
      <c r="F364" t="s">
        <v>215</v>
      </c>
      <c r="G364" t="s">
        <v>33</v>
      </c>
      <c r="H364" s="6" t="s">
        <v>706</v>
      </c>
      <c r="I364" s="11">
        <v>97568.88</v>
      </c>
      <c r="J364" t="s">
        <v>346</v>
      </c>
      <c r="K364">
        <v>-7911244210</v>
      </c>
      <c r="L364" t="s">
        <v>18</v>
      </c>
      <c r="M364" t="b">
        <v>1</v>
      </c>
      <c r="N364" s="17">
        <f t="shared" si="5"/>
        <v>45412</v>
      </c>
      <c r="O364" t="str">
        <f>LEFT(Table1[[#This Row],[Department_Region]], FIND("-", Table1[[#This Row],[Department_Region]]) - 1)</f>
        <v>HR</v>
      </c>
      <c r="P364" t="str">
        <f>RIGHT(Table1[[#This Row],[Department_Region]],LEN(Table1[[#This Row],[Department_Region]]) - FIND("-",Table1[[#This Row],[Department_Region]]))</f>
        <v>Florida</v>
      </c>
      <c r="Q3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64" s="15"/>
    </row>
    <row r="365" spans="1:18" x14ac:dyDescent="0.2">
      <c r="A365" s="1">
        <v>363</v>
      </c>
      <c r="B365" s="6" t="s">
        <v>707</v>
      </c>
      <c r="C365" t="s">
        <v>54</v>
      </c>
      <c r="D365" t="s">
        <v>55</v>
      </c>
      <c r="E365">
        <v>35</v>
      </c>
      <c r="F365" t="s">
        <v>39</v>
      </c>
      <c r="G365" t="s">
        <v>16</v>
      </c>
      <c r="H365" s="6" t="s">
        <v>708</v>
      </c>
      <c r="I365" s="11">
        <v>79118.28</v>
      </c>
      <c r="J365" t="s">
        <v>57</v>
      </c>
      <c r="K365">
        <v>-7536170616</v>
      </c>
      <c r="L365" t="s">
        <v>41</v>
      </c>
      <c r="M365" t="b">
        <v>1</v>
      </c>
      <c r="N365" s="17">
        <f t="shared" si="5"/>
        <v>44436</v>
      </c>
      <c r="O365" t="str">
        <f>LEFT(Table1[[#This Row],[Department_Region]], FIND("-", Table1[[#This Row],[Department_Region]]) - 1)</f>
        <v>Cloud Tech</v>
      </c>
      <c r="P365" t="str">
        <f>RIGHT(Table1[[#This Row],[Department_Region]],LEN(Table1[[#This Row],[Department_Region]]) - FIND("-",Table1[[#This Row],[Department_Region]]))</f>
        <v>Florida</v>
      </c>
      <c r="Q3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65" s="15"/>
    </row>
    <row r="366" spans="1:18" x14ac:dyDescent="0.2">
      <c r="A366" s="1">
        <v>364</v>
      </c>
      <c r="B366" s="6" t="s">
        <v>709</v>
      </c>
      <c r="C366" t="s">
        <v>13</v>
      </c>
      <c r="D366" t="s">
        <v>14</v>
      </c>
      <c r="E366">
        <v>30</v>
      </c>
      <c r="F366" t="s">
        <v>148</v>
      </c>
      <c r="G366" t="s">
        <v>33</v>
      </c>
      <c r="H366" s="6" t="s">
        <v>329</v>
      </c>
      <c r="I366" s="11">
        <v>104898.9</v>
      </c>
      <c r="J366" t="s">
        <v>17</v>
      </c>
      <c r="K366">
        <v>-1366572239</v>
      </c>
      <c r="L366" t="s">
        <v>23</v>
      </c>
      <c r="M366" t="b">
        <v>1</v>
      </c>
      <c r="N366" s="17">
        <f t="shared" si="5"/>
        <v>44763</v>
      </c>
      <c r="O366" t="str">
        <f>LEFT(Table1[[#This Row],[Department_Region]], FIND("-", Table1[[#This Row],[Department_Region]]) - 1)</f>
        <v>HR</v>
      </c>
      <c r="P366" t="str">
        <f>RIGHT(Table1[[#This Row],[Department_Region]],LEN(Table1[[#This Row],[Department_Region]]) - FIND("-",Table1[[#This Row],[Department_Region]]))</f>
        <v>California</v>
      </c>
      <c r="Q3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66" s="15"/>
    </row>
    <row r="367" spans="1:18" x14ac:dyDescent="0.2">
      <c r="A367" s="1">
        <v>365</v>
      </c>
      <c r="B367" s="6" t="s">
        <v>710</v>
      </c>
      <c r="C367" t="s">
        <v>37</v>
      </c>
      <c r="D367" t="s">
        <v>14</v>
      </c>
      <c r="E367">
        <v>40</v>
      </c>
      <c r="F367" t="s">
        <v>39</v>
      </c>
      <c r="G367" t="s">
        <v>28</v>
      </c>
      <c r="H367" s="6" t="s">
        <v>711</v>
      </c>
      <c r="I367" s="11">
        <v>81671.3</v>
      </c>
      <c r="J367" t="s">
        <v>52</v>
      </c>
      <c r="K367">
        <v>-2990155798</v>
      </c>
      <c r="L367" t="s">
        <v>41</v>
      </c>
      <c r="M367" t="b">
        <v>1</v>
      </c>
      <c r="N367" s="17">
        <f t="shared" si="5"/>
        <v>45257</v>
      </c>
      <c r="O367" t="str">
        <f>LEFT(Table1[[#This Row],[Department_Region]], FIND("-", Table1[[#This Row],[Department_Region]]) - 1)</f>
        <v>Cloud Tech</v>
      </c>
      <c r="P367" t="str">
        <f>RIGHT(Table1[[#This Row],[Department_Region]],LEN(Table1[[#This Row],[Department_Region]]) - FIND("-",Table1[[#This Row],[Department_Region]]))</f>
        <v>Florida</v>
      </c>
      <c r="Q3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67" s="15"/>
    </row>
    <row r="368" spans="1:18" x14ac:dyDescent="0.2">
      <c r="A368" s="1">
        <v>366</v>
      </c>
      <c r="B368" s="6" t="s">
        <v>712</v>
      </c>
      <c r="C368" t="s">
        <v>25</v>
      </c>
      <c r="D368" t="s">
        <v>93</v>
      </c>
      <c r="E368">
        <v>25</v>
      </c>
      <c r="F368" t="s">
        <v>272</v>
      </c>
      <c r="G368" t="s">
        <v>28</v>
      </c>
      <c r="H368" s="6" t="s">
        <v>1802</v>
      </c>
      <c r="I368" s="11">
        <v>97399.75</v>
      </c>
      <c r="J368" t="s">
        <v>168</v>
      </c>
      <c r="K368">
        <v>-8028413907</v>
      </c>
      <c r="L368" t="s">
        <v>23</v>
      </c>
      <c r="M368" t="b">
        <v>0</v>
      </c>
      <c r="N368" s="17">
        <f t="shared" si="5"/>
        <v>44054</v>
      </c>
      <c r="O368" t="str">
        <f>LEFT(Table1[[#This Row],[Department_Region]], FIND("-", Table1[[#This Row],[Department_Region]]) - 1)</f>
        <v>Cloud Tech</v>
      </c>
      <c r="P368" t="str">
        <f>RIGHT(Table1[[#This Row],[Department_Region]],LEN(Table1[[#This Row],[Department_Region]]) - FIND("-",Table1[[#This Row],[Department_Region]]))</f>
        <v>California</v>
      </c>
      <c r="Q3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68" s="15"/>
    </row>
    <row r="369" spans="1:18" x14ac:dyDescent="0.2">
      <c r="A369" s="1">
        <v>367</v>
      </c>
      <c r="B369" s="6" t="s">
        <v>713</v>
      </c>
      <c r="C369" t="s">
        <v>59</v>
      </c>
      <c r="D369" t="s">
        <v>55</v>
      </c>
      <c r="E369">
        <v>32</v>
      </c>
      <c r="F369" t="s">
        <v>90</v>
      </c>
      <c r="G369" t="s">
        <v>16</v>
      </c>
      <c r="H369" s="6" t="s">
        <v>1803</v>
      </c>
      <c r="I369" s="11">
        <v>89189.43</v>
      </c>
      <c r="J369" t="s">
        <v>220</v>
      </c>
      <c r="K369">
        <v>-882351304</v>
      </c>
      <c r="L369" t="s">
        <v>41</v>
      </c>
      <c r="M369" t="b">
        <v>1</v>
      </c>
      <c r="N369" s="17">
        <f t="shared" si="5"/>
        <v>44508</v>
      </c>
      <c r="O369" t="str">
        <f>LEFT(Table1[[#This Row],[Department_Region]], FIND("-", Table1[[#This Row],[Department_Region]]) - 1)</f>
        <v>Admin</v>
      </c>
      <c r="P369" t="str">
        <f>RIGHT(Table1[[#This Row],[Department_Region]],LEN(Table1[[#This Row],[Department_Region]]) - FIND("-",Table1[[#This Row],[Department_Region]]))</f>
        <v>Illinois</v>
      </c>
      <c r="Q3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69" s="15"/>
    </row>
    <row r="370" spans="1:18" x14ac:dyDescent="0.2">
      <c r="A370" s="1">
        <v>368</v>
      </c>
      <c r="B370" s="6" t="s">
        <v>714</v>
      </c>
      <c r="C370" t="s">
        <v>59</v>
      </c>
      <c r="D370" t="s">
        <v>38</v>
      </c>
      <c r="E370">
        <v>40</v>
      </c>
      <c r="F370" t="s">
        <v>56</v>
      </c>
      <c r="G370" t="s">
        <v>16</v>
      </c>
      <c r="H370" s="6" t="s">
        <v>1804</v>
      </c>
      <c r="I370" s="11">
        <v>96011.55</v>
      </c>
      <c r="J370" t="s">
        <v>61</v>
      </c>
      <c r="K370">
        <v>-2312447314</v>
      </c>
      <c r="L370" t="s">
        <v>18</v>
      </c>
      <c r="M370" t="b">
        <v>1</v>
      </c>
      <c r="N370" s="17">
        <f t="shared" si="5"/>
        <v>45142</v>
      </c>
      <c r="O370" t="str">
        <f>LEFT(Table1[[#This Row],[Department_Region]], FIND("-", Table1[[#This Row],[Department_Region]]) - 1)</f>
        <v>DevOps</v>
      </c>
      <c r="P370" t="str">
        <f>RIGHT(Table1[[#This Row],[Department_Region]],LEN(Table1[[#This Row],[Department_Region]]) - FIND("-",Table1[[#This Row],[Department_Region]]))</f>
        <v>New York</v>
      </c>
      <c r="Q3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0" s="15"/>
    </row>
    <row r="371" spans="1:18" x14ac:dyDescent="0.2">
      <c r="A371" s="1">
        <v>369</v>
      </c>
      <c r="B371" s="6" t="s">
        <v>715</v>
      </c>
      <c r="C371" t="s">
        <v>59</v>
      </c>
      <c r="D371" t="s">
        <v>14</v>
      </c>
      <c r="E371">
        <v>40</v>
      </c>
      <c r="F371" t="s">
        <v>75</v>
      </c>
      <c r="G371" t="s">
        <v>33</v>
      </c>
      <c r="H371" s="6" t="s">
        <v>1805</v>
      </c>
      <c r="I371" s="11">
        <v>99331.49</v>
      </c>
      <c r="J371" t="s">
        <v>63</v>
      </c>
      <c r="K371">
        <v>-8477686341</v>
      </c>
      <c r="L371" t="s">
        <v>23</v>
      </c>
      <c r="M371" t="b">
        <v>0</v>
      </c>
      <c r="N371" s="17">
        <f t="shared" si="5"/>
        <v>43840</v>
      </c>
      <c r="O371" t="str">
        <f>LEFT(Table1[[#This Row],[Department_Region]], FIND("-", Table1[[#This Row],[Department_Region]]) - 1)</f>
        <v>Sales</v>
      </c>
      <c r="P371" t="str">
        <f>RIGHT(Table1[[#This Row],[Department_Region]],LEN(Table1[[#This Row],[Department_Region]]) - FIND("-",Table1[[#This Row],[Department_Region]]))</f>
        <v>Florida</v>
      </c>
      <c r="Q3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71" s="15"/>
    </row>
    <row r="372" spans="1:18" x14ac:dyDescent="0.2">
      <c r="A372" s="1">
        <v>370</v>
      </c>
      <c r="B372" s="6" t="s">
        <v>716</v>
      </c>
      <c r="C372" t="s">
        <v>13</v>
      </c>
      <c r="D372" t="s">
        <v>20</v>
      </c>
      <c r="E372">
        <v>32</v>
      </c>
      <c r="F372" t="s">
        <v>96</v>
      </c>
      <c r="G372" t="s">
        <v>16</v>
      </c>
      <c r="H372" s="6" t="s">
        <v>549</v>
      </c>
      <c r="I372" s="11">
        <v>72818.94</v>
      </c>
      <c r="J372" t="s">
        <v>22</v>
      </c>
      <c r="K372">
        <v>-3461994236</v>
      </c>
      <c r="L372" t="s">
        <v>30</v>
      </c>
      <c r="M372" t="b">
        <v>1</v>
      </c>
      <c r="N372" s="17">
        <f t="shared" si="5"/>
        <v>44580</v>
      </c>
      <c r="O372" t="str">
        <f>LEFT(Table1[[#This Row],[Department_Region]], FIND("-", Table1[[#This Row],[Department_Region]]) - 1)</f>
        <v>Cloud Tech</v>
      </c>
      <c r="P372" t="str">
        <f>RIGHT(Table1[[#This Row],[Department_Region]],LEN(Table1[[#This Row],[Department_Region]]) - FIND("-",Table1[[#This Row],[Department_Region]]))</f>
        <v>Illinois</v>
      </c>
      <c r="Q3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72" s="15"/>
    </row>
    <row r="373" spans="1:18" x14ac:dyDescent="0.2">
      <c r="A373" s="1">
        <v>371</v>
      </c>
      <c r="B373" s="6" t="s">
        <v>717</v>
      </c>
      <c r="C373" t="s">
        <v>32</v>
      </c>
      <c r="D373" t="s">
        <v>43</v>
      </c>
      <c r="E373">
        <v>40</v>
      </c>
      <c r="F373" t="s">
        <v>222</v>
      </c>
      <c r="G373" t="s">
        <v>33</v>
      </c>
      <c r="H373" s="6" t="s">
        <v>1806</v>
      </c>
      <c r="I373" s="11">
        <v>77204.75</v>
      </c>
      <c r="J373" t="s">
        <v>301</v>
      </c>
      <c r="K373">
        <v>-6769459195</v>
      </c>
      <c r="L373" t="s">
        <v>30</v>
      </c>
      <c r="M373" t="b">
        <v>1</v>
      </c>
      <c r="N373" s="17">
        <f t="shared" si="5"/>
        <v>45053</v>
      </c>
      <c r="O373" t="str">
        <f>LEFT(Table1[[#This Row],[Department_Region]], FIND("-", Table1[[#This Row],[Department_Region]]) - 1)</f>
        <v>Sales</v>
      </c>
      <c r="P373" t="str">
        <f>RIGHT(Table1[[#This Row],[Department_Region]],LEN(Table1[[#This Row],[Department_Region]]) - FIND("-",Table1[[#This Row],[Department_Region]]))</f>
        <v>Nevada</v>
      </c>
      <c r="Q3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3" s="15"/>
    </row>
    <row r="374" spans="1:18" x14ac:dyDescent="0.2">
      <c r="A374" s="1">
        <v>372</v>
      </c>
      <c r="B374" s="6" t="s">
        <v>718</v>
      </c>
      <c r="C374" t="s">
        <v>13</v>
      </c>
      <c r="D374" t="s">
        <v>55</v>
      </c>
      <c r="E374">
        <v>35</v>
      </c>
      <c r="F374" t="s">
        <v>215</v>
      </c>
      <c r="G374" t="s">
        <v>28</v>
      </c>
      <c r="H374" s="6" t="s">
        <v>719</v>
      </c>
      <c r="I374" s="11">
        <v>106961.68</v>
      </c>
      <c r="J374" t="s">
        <v>202</v>
      </c>
      <c r="K374">
        <v>-6395517207</v>
      </c>
      <c r="L374" t="s">
        <v>41</v>
      </c>
      <c r="M374" t="b">
        <v>0</v>
      </c>
      <c r="N374" s="17">
        <f t="shared" si="5"/>
        <v>44184</v>
      </c>
      <c r="O374" t="str">
        <f>LEFT(Table1[[#This Row],[Department_Region]], FIND("-", Table1[[#This Row],[Department_Region]]) - 1)</f>
        <v>HR</v>
      </c>
      <c r="P374" t="str">
        <f>RIGHT(Table1[[#This Row],[Department_Region]],LEN(Table1[[#This Row],[Department_Region]]) - FIND("-",Table1[[#This Row],[Department_Region]]))</f>
        <v>Florida</v>
      </c>
      <c r="Q3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74" s="15"/>
    </row>
    <row r="375" spans="1:18" x14ac:dyDescent="0.2">
      <c r="A375" s="1">
        <v>373</v>
      </c>
      <c r="B375" s="6" t="s">
        <v>720</v>
      </c>
      <c r="C375" t="s">
        <v>32</v>
      </c>
      <c r="D375" t="s">
        <v>43</v>
      </c>
      <c r="E375">
        <v>32</v>
      </c>
      <c r="F375" t="s">
        <v>44</v>
      </c>
      <c r="G375" t="s">
        <v>28</v>
      </c>
      <c r="H375" s="6" t="s">
        <v>1807</v>
      </c>
      <c r="I375" s="11">
        <v>71923</v>
      </c>
      <c r="J375" t="s">
        <v>301</v>
      </c>
      <c r="K375">
        <v>-4964985600</v>
      </c>
      <c r="L375" t="s">
        <v>30</v>
      </c>
      <c r="M375" t="b">
        <v>1</v>
      </c>
      <c r="N375" s="17">
        <f t="shared" si="5"/>
        <v>44105</v>
      </c>
      <c r="O375" t="str">
        <f>LEFT(Table1[[#This Row],[Department_Region]], FIND("-", Table1[[#This Row],[Department_Region]]) - 1)</f>
        <v>Sales</v>
      </c>
      <c r="P375" t="str">
        <f>RIGHT(Table1[[#This Row],[Department_Region]],LEN(Table1[[#This Row],[Department_Region]]) - FIND("-",Table1[[#This Row],[Department_Region]]))</f>
        <v>Texas</v>
      </c>
      <c r="Q3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5" s="15"/>
    </row>
    <row r="376" spans="1:18" x14ac:dyDescent="0.2">
      <c r="A376" s="1">
        <v>374</v>
      </c>
      <c r="B376" s="6" t="s">
        <v>721</v>
      </c>
      <c r="C376" t="s">
        <v>13</v>
      </c>
      <c r="D376" t="s">
        <v>124</v>
      </c>
      <c r="E376">
        <v>30</v>
      </c>
      <c r="F376" t="s">
        <v>151</v>
      </c>
      <c r="G376" t="s">
        <v>16</v>
      </c>
      <c r="H376" s="6" t="s">
        <v>722</v>
      </c>
      <c r="I376" s="11">
        <v>77192.429999999993</v>
      </c>
      <c r="J376" t="s">
        <v>125</v>
      </c>
      <c r="K376">
        <v>-2562531354</v>
      </c>
      <c r="L376" t="s">
        <v>23</v>
      </c>
      <c r="M376" t="b">
        <v>0</v>
      </c>
      <c r="N376" s="17">
        <f t="shared" si="5"/>
        <v>44877</v>
      </c>
      <c r="O376" t="str">
        <f>LEFT(Table1[[#This Row],[Department_Region]], FIND("-", Table1[[#This Row],[Department_Region]]) - 1)</f>
        <v>HR</v>
      </c>
      <c r="P376" t="str">
        <f>RIGHT(Table1[[#This Row],[Department_Region]],LEN(Table1[[#This Row],[Department_Region]]) - FIND("-",Table1[[#This Row],[Department_Region]]))</f>
        <v>Nevada</v>
      </c>
      <c r="Q3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6" s="15"/>
    </row>
    <row r="377" spans="1:18" x14ac:dyDescent="0.2">
      <c r="A377" s="1">
        <v>375</v>
      </c>
      <c r="B377" s="6" t="s">
        <v>723</v>
      </c>
      <c r="C377" t="s">
        <v>69</v>
      </c>
      <c r="D377" t="s">
        <v>20</v>
      </c>
      <c r="E377">
        <v>40</v>
      </c>
      <c r="F377" t="s">
        <v>208</v>
      </c>
      <c r="G377" t="s">
        <v>28</v>
      </c>
      <c r="H377" s="6" t="s">
        <v>1808</v>
      </c>
      <c r="I377" s="11">
        <v>98540.3</v>
      </c>
      <c r="J377" t="s">
        <v>204</v>
      </c>
      <c r="K377">
        <v>-2510505378</v>
      </c>
      <c r="L377" t="s">
        <v>30</v>
      </c>
      <c r="M377" t="b">
        <v>0</v>
      </c>
      <c r="N377" s="17">
        <f t="shared" si="5"/>
        <v>44931</v>
      </c>
      <c r="O377" t="str">
        <f>LEFT(Table1[[#This Row],[Department_Region]], FIND("-", Table1[[#This Row],[Department_Region]]) - 1)</f>
        <v>Admin</v>
      </c>
      <c r="P377" t="str">
        <f>RIGHT(Table1[[#This Row],[Department_Region]],LEN(Table1[[#This Row],[Department_Region]]) - FIND("-",Table1[[#This Row],[Department_Region]]))</f>
        <v>Florida</v>
      </c>
      <c r="Q3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77" s="15"/>
    </row>
    <row r="378" spans="1:18" x14ac:dyDescent="0.2">
      <c r="A378" s="1">
        <v>376</v>
      </c>
      <c r="B378" s="6" t="s">
        <v>724</v>
      </c>
      <c r="C378" t="s">
        <v>54</v>
      </c>
      <c r="D378" t="s">
        <v>20</v>
      </c>
      <c r="E378">
        <v>32</v>
      </c>
      <c r="F378" t="s">
        <v>208</v>
      </c>
      <c r="G378" t="s">
        <v>33</v>
      </c>
      <c r="H378" s="6" t="s">
        <v>725</v>
      </c>
      <c r="I378" s="11">
        <v>63096.9</v>
      </c>
      <c r="J378" t="s">
        <v>127</v>
      </c>
      <c r="K378">
        <v>-5381649382</v>
      </c>
      <c r="L378" t="s">
        <v>18</v>
      </c>
      <c r="M378" t="b">
        <v>0</v>
      </c>
      <c r="N378" s="17">
        <f t="shared" si="5"/>
        <v>44118</v>
      </c>
      <c r="O378" t="str">
        <f>LEFT(Table1[[#This Row],[Department_Region]], FIND("-", Table1[[#This Row],[Department_Region]]) - 1)</f>
        <v>Admin</v>
      </c>
      <c r="P378" t="str">
        <f>RIGHT(Table1[[#This Row],[Department_Region]],LEN(Table1[[#This Row],[Department_Region]]) - FIND("-",Table1[[#This Row],[Department_Region]]))</f>
        <v>Florida</v>
      </c>
      <c r="Q3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8" s="15"/>
    </row>
    <row r="379" spans="1:18" x14ac:dyDescent="0.2">
      <c r="A379" s="1">
        <v>377</v>
      </c>
      <c r="B379" s="6" t="s">
        <v>726</v>
      </c>
      <c r="C379" t="s">
        <v>25</v>
      </c>
      <c r="D379" t="s">
        <v>124</v>
      </c>
      <c r="E379">
        <v>35</v>
      </c>
      <c r="F379" t="s">
        <v>39</v>
      </c>
      <c r="G379" t="s">
        <v>16</v>
      </c>
      <c r="H379" s="6" t="s">
        <v>1809</v>
      </c>
      <c r="I379" s="11">
        <v>107065.12</v>
      </c>
      <c r="J379" t="s">
        <v>185</v>
      </c>
      <c r="K379">
        <v>-1849196654</v>
      </c>
      <c r="L379" t="s">
        <v>18</v>
      </c>
      <c r="M379" t="b">
        <v>0</v>
      </c>
      <c r="N379" s="17">
        <f t="shared" si="5"/>
        <v>44230</v>
      </c>
      <c r="O379" t="str">
        <f>LEFT(Table1[[#This Row],[Department_Region]], FIND("-", Table1[[#This Row],[Department_Region]]) - 1)</f>
        <v>Cloud Tech</v>
      </c>
      <c r="P379" t="str">
        <f>RIGHT(Table1[[#This Row],[Department_Region]],LEN(Table1[[#This Row],[Department_Region]]) - FIND("-",Table1[[#This Row],[Department_Region]]))</f>
        <v>Florida</v>
      </c>
      <c r="Q3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79" s="15"/>
    </row>
    <row r="380" spans="1:18" x14ac:dyDescent="0.2">
      <c r="A380" s="1">
        <v>378</v>
      </c>
      <c r="B380" s="6" t="s">
        <v>727</v>
      </c>
      <c r="C380" t="s">
        <v>65</v>
      </c>
      <c r="D380" t="s">
        <v>55</v>
      </c>
      <c r="E380">
        <v>40</v>
      </c>
      <c r="F380" t="s">
        <v>233</v>
      </c>
      <c r="G380" t="s">
        <v>33</v>
      </c>
      <c r="H380" s="6" t="s">
        <v>728</v>
      </c>
      <c r="I380" s="11">
        <v>108792.43</v>
      </c>
      <c r="J380" t="s">
        <v>114</v>
      </c>
      <c r="K380">
        <v>-3307704610</v>
      </c>
      <c r="L380" t="s">
        <v>41</v>
      </c>
      <c r="M380" t="b">
        <v>1</v>
      </c>
      <c r="N380" s="17">
        <f t="shared" si="5"/>
        <v>45285</v>
      </c>
      <c r="O380" t="str">
        <f>LEFT(Table1[[#This Row],[Department_Region]], FIND("-", Table1[[#This Row],[Department_Region]]) - 1)</f>
        <v>DevOps</v>
      </c>
      <c r="P380" t="str">
        <f>RIGHT(Table1[[#This Row],[Department_Region]],LEN(Table1[[#This Row],[Department_Region]]) - FIND("-",Table1[[#This Row],[Department_Region]]))</f>
        <v>Florida</v>
      </c>
      <c r="Q3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80" s="15"/>
    </row>
    <row r="381" spans="1:18" x14ac:dyDescent="0.2">
      <c r="A381" s="1">
        <v>379</v>
      </c>
      <c r="B381" s="6" t="s">
        <v>729</v>
      </c>
      <c r="C381" t="s">
        <v>13</v>
      </c>
      <c r="D381" t="s">
        <v>124</v>
      </c>
      <c r="E381">
        <v>32</v>
      </c>
      <c r="F381" t="s">
        <v>60</v>
      </c>
      <c r="G381" t="s">
        <v>33</v>
      </c>
      <c r="H381" s="6" t="s">
        <v>1810</v>
      </c>
      <c r="I381" s="11">
        <v>69239.7</v>
      </c>
      <c r="J381" t="s">
        <v>125</v>
      </c>
      <c r="K381">
        <v>-7295963903</v>
      </c>
      <c r="L381" t="s">
        <v>23</v>
      </c>
      <c r="M381" t="b">
        <v>0</v>
      </c>
      <c r="N381" s="17">
        <f t="shared" si="5"/>
        <v>43897</v>
      </c>
      <c r="O381" t="str">
        <f>LEFT(Table1[[#This Row],[Department_Region]], FIND("-", Table1[[#This Row],[Department_Region]]) - 1)</f>
        <v>Cloud Tech</v>
      </c>
      <c r="P381" t="str">
        <f>RIGHT(Table1[[#This Row],[Department_Region]],LEN(Table1[[#This Row],[Department_Region]]) - FIND("-",Table1[[#This Row],[Department_Region]]))</f>
        <v>New York</v>
      </c>
      <c r="Q3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81" s="15"/>
    </row>
    <row r="382" spans="1:18" x14ac:dyDescent="0.2">
      <c r="A382" s="1">
        <v>380</v>
      </c>
      <c r="B382" s="6" t="s">
        <v>730</v>
      </c>
      <c r="C382" t="s">
        <v>54</v>
      </c>
      <c r="D382" t="s">
        <v>43</v>
      </c>
      <c r="E382">
        <v>40</v>
      </c>
      <c r="F382" t="s">
        <v>222</v>
      </c>
      <c r="G382" t="s">
        <v>33</v>
      </c>
      <c r="H382" s="6" t="s">
        <v>731</v>
      </c>
      <c r="I382" s="11">
        <v>85756.42</v>
      </c>
      <c r="J382" t="s">
        <v>88</v>
      </c>
      <c r="K382">
        <v>-907426087</v>
      </c>
      <c r="L382" t="s">
        <v>18</v>
      </c>
      <c r="M382" t="b">
        <v>1</v>
      </c>
      <c r="N382" s="17">
        <f t="shared" si="5"/>
        <v>44956</v>
      </c>
      <c r="O382" t="str">
        <f>LEFT(Table1[[#This Row],[Department_Region]], FIND("-", Table1[[#This Row],[Department_Region]]) - 1)</f>
        <v>Sales</v>
      </c>
      <c r="P382" t="str">
        <f>RIGHT(Table1[[#This Row],[Department_Region]],LEN(Table1[[#This Row],[Department_Region]]) - FIND("-",Table1[[#This Row],[Department_Region]]))</f>
        <v>Nevada</v>
      </c>
      <c r="Q3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82" s="15"/>
    </row>
    <row r="383" spans="1:18" x14ac:dyDescent="0.2">
      <c r="A383" s="1">
        <v>381</v>
      </c>
      <c r="B383" s="6" t="s">
        <v>732</v>
      </c>
      <c r="C383" t="s">
        <v>32</v>
      </c>
      <c r="D383" t="s">
        <v>93</v>
      </c>
      <c r="E383">
        <v>32</v>
      </c>
      <c r="F383" t="s">
        <v>195</v>
      </c>
      <c r="G383" t="s">
        <v>16</v>
      </c>
      <c r="H383" s="6" t="s">
        <v>1741</v>
      </c>
      <c r="I383" s="11">
        <v>100328.62</v>
      </c>
      <c r="J383" t="s">
        <v>267</v>
      </c>
      <c r="K383">
        <v>-501716444</v>
      </c>
      <c r="L383" t="s">
        <v>18</v>
      </c>
      <c r="M383" t="b">
        <v>1</v>
      </c>
      <c r="N383" s="17">
        <f t="shared" si="5"/>
        <v>45387</v>
      </c>
      <c r="O383" t="str">
        <f>LEFT(Table1[[#This Row],[Department_Region]], FIND("-", Table1[[#This Row],[Department_Region]]) - 1)</f>
        <v>HR</v>
      </c>
      <c r="P383" t="str">
        <f>RIGHT(Table1[[#This Row],[Department_Region]],LEN(Table1[[#This Row],[Department_Region]]) - FIND("-",Table1[[#This Row],[Department_Region]]))</f>
        <v>Illinois</v>
      </c>
      <c r="Q3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83" s="15"/>
    </row>
    <row r="384" spans="1:18" x14ac:dyDescent="0.2">
      <c r="A384" s="1">
        <v>382</v>
      </c>
      <c r="B384" s="6" t="s">
        <v>733</v>
      </c>
      <c r="C384" t="s">
        <v>69</v>
      </c>
      <c r="D384" t="s">
        <v>20</v>
      </c>
      <c r="E384">
        <v>25</v>
      </c>
      <c r="F384" t="s">
        <v>333</v>
      </c>
      <c r="G384" t="s">
        <v>16</v>
      </c>
      <c r="H384" s="6" t="s">
        <v>1763</v>
      </c>
      <c r="I384" s="11">
        <v>111236.69</v>
      </c>
      <c r="J384" t="s">
        <v>204</v>
      </c>
      <c r="K384">
        <v>-5618579063</v>
      </c>
      <c r="L384" t="s">
        <v>23</v>
      </c>
      <c r="M384" t="b">
        <v>1</v>
      </c>
      <c r="N384" s="17">
        <f t="shared" si="5"/>
        <v>44440</v>
      </c>
      <c r="O384" t="str">
        <f>LEFT(Table1[[#This Row],[Department_Region]], FIND("-", Table1[[#This Row],[Department_Region]]) - 1)</f>
        <v>DevOps</v>
      </c>
      <c r="P384" t="str">
        <f>RIGHT(Table1[[#This Row],[Department_Region]],LEN(Table1[[#This Row],[Department_Region]]) - FIND("-",Table1[[#This Row],[Department_Region]]))</f>
        <v>Nevada</v>
      </c>
      <c r="Q3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84" s="15"/>
    </row>
    <row r="385" spans="1:18" x14ac:dyDescent="0.2">
      <c r="A385" s="1">
        <v>383</v>
      </c>
      <c r="B385" s="6" t="s">
        <v>734</v>
      </c>
      <c r="C385" t="s">
        <v>32</v>
      </c>
      <c r="D385" t="s">
        <v>26</v>
      </c>
      <c r="E385">
        <v>35</v>
      </c>
      <c r="F385" t="s">
        <v>39</v>
      </c>
      <c r="G385" t="s">
        <v>16</v>
      </c>
      <c r="H385" s="6" t="s">
        <v>1710</v>
      </c>
      <c r="I385" s="11">
        <v>106832.22</v>
      </c>
      <c r="J385" t="s">
        <v>281</v>
      </c>
      <c r="K385">
        <v>-7715910299</v>
      </c>
      <c r="L385" t="s">
        <v>30</v>
      </c>
      <c r="M385" t="b">
        <v>1</v>
      </c>
      <c r="N385" s="17">
        <f t="shared" si="5"/>
        <v>45419</v>
      </c>
      <c r="O385" t="str">
        <f>LEFT(Table1[[#This Row],[Department_Region]], FIND("-", Table1[[#This Row],[Department_Region]]) - 1)</f>
        <v>Cloud Tech</v>
      </c>
      <c r="P385" t="str">
        <f>RIGHT(Table1[[#This Row],[Department_Region]],LEN(Table1[[#This Row],[Department_Region]]) - FIND("-",Table1[[#This Row],[Department_Region]]))</f>
        <v>Florida</v>
      </c>
      <c r="Q3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85" s="15"/>
    </row>
    <row r="386" spans="1:18" x14ac:dyDescent="0.2">
      <c r="A386" s="1">
        <v>384</v>
      </c>
      <c r="B386" s="6" t="s">
        <v>735</v>
      </c>
      <c r="C386" t="s">
        <v>37</v>
      </c>
      <c r="D386" t="s">
        <v>26</v>
      </c>
      <c r="E386">
        <v>32</v>
      </c>
      <c r="F386" t="s">
        <v>233</v>
      </c>
      <c r="G386" t="s">
        <v>16</v>
      </c>
      <c r="H386" s="6" t="s">
        <v>736</v>
      </c>
      <c r="I386" s="11">
        <v>59746.45</v>
      </c>
      <c r="J386" t="s">
        <v>47</v>
      </c>
      <c r="K386">
        <v>-2156321357</v>
      </c>
      <c r="L386" t="s">
        <v>30</v>
      </c>
      <c r="M386" t="b">
        <v>1</v>
      </c>
      <c r="N386" s="17">
        <f t="shared" ref="N386:N449" si="6">IF(ISNUMBER(H386), H386, DATE(RIGHT(H386, 4), LEFT(H386, FIND("/", H386) - 1), MID(H386, FIND("/", H386) + 1, FIND("/", H386, FIND("/", H386) + 1) - FIND("/", H386) - 1)))</f>
        <v>45092</v>
      </c>
      <c r="O386" t="str">
        <f>LEFT(Table1[[#This Row],[Department_Region]], FIND("-", Table1[[#This Row],[Department_Region]]) - 1)</f>
        <v>DevOps</v>
      </c>
      <c r="P386" t="str">
        <f>RIGHT(Table1[[#This Row],[Department_Region]],LEN(Table1[[#This Row],[Department_Region]]) - FIND("-",Table1[[#This Row],[Department_Region]]))</f>
        <v>Florida</v>
      </c>
      <c r="Q3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86" s="15"/>
    </row>
    <row r="387" spans="1:18" x14ac:dyDescent="0.2">
      <c r="A387" s="1">
        <v>385</v>
      </c>
      <c r="B387" s="6" t="s">
        <v>737</v>
      </c>
      <c r="C387" t="s">
        <v>59</v>
      </c>
      <c r="D387" t="s">
        <v>43</v>
      </c>
      <c r="E387">
        <v>25</v>
      </c>
      <c r="F387" t="s">
        <v>180</v>
      </c>
      <c r="G387" t="s">
        <v>28</v>
      </c>
      <c r="H387" s="6" t="s">
        <v>738</v>
      </c>
      <c r="I387" s="11">
        <v>91780.04</v>
      </c>
      <c r="J387" t="s">
        <v>102</v>
      </c>
      <c r="K387">
        <v>-40104144</v>
      </c>
      <c r="L387" t="s">
        <v>41</v>
      </c>
      <c r="M387" t="b">
        <v>1</v>
      </c>
      <c r="N387" s="17">
        <f t="shared" si="6"/>
        <v>44406</v>
      </c>
      <c r="O387" t="str">
        <f>LEFT(Table1[[#This Row],[Department_Region]], FIND("-", Table1[[#This Row],[Department_Region]]) - 1)</f>
        <v>Sales</v>
      </c>
      <c r="P387" t="str">
        <f>RIGHT(Table1[[#This Row],[Department_Region]],LEN(Table1[[#This Row],[Department_Region]]) - FIND("-",Table1[[#This Row],[Department_Region]]))</f>
        <v>California</v>
      </c>
      <c r="Q3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87" s="15"/>
    </row>
    <row r="388" spans="1:18" x14ac:dyDescent="0.2">
      <c r="A388" s="1">
        <v>386</v>
      </c>
      <c r="B388" s="6" t="s">
        <v>739</v>
      </c>
      <c r="C388" t="s">
        <v>32</v>
      </c>
      <c r="D388" t="s">
        <v>38</v>
      </c>
      <c r="E388">
        <v>35</v>
      </c>
      <c r="F388" t="s">
        <v>180</v>
      </c>
      <c r="G388" t="s">
        <v>28</v>
      </c>
      <c r="H388" s="6" t="s">
        <v>740</v>
      </c>
      <c r="I388" s="11">
        <v>107062.66</v>
      </c>
      <c r="J388" t="s">
        <v>143</v>
      </c>
      <c r="K388">
        <v>-9642297124</v>
      </c>
      <c r="L388" t="s">
        <v>30</v>
      </c>
      <c r="M388" t="b">
        <v>1</v>
      </c>
      <c r="N388" s="17">
        <f t="shared" si="6"/>
        <v>45222</v>
      </c>
      <c r="O388" t="str">
        <f>LEFT(Table1[[#This Row],[Department_Region]], FIND("-", Table1[[#This Row],[Department_Region]]) - 1)</f>
        <v>Sales</v>
      </c>
      <c r="P388" t="str">
        <f>RIGHT(Table1[[#This Row],[Department_Region]],LEN(Table1[[#This Row],[Department_Region]]) - FIND("-",Table1[[#This Row],[Department_Region]]))</f>
        <v>California</v>
      </c>
      <c r="Q3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88" s="15"/>
    </row>
    <row r="389" spans="1:18" x14ac:dyDescent="0.2">
      <c r="A389" s="1">
        <v>387</v>
      </c>
      <c r="B389" s="6" t="s">
        <v>741</v>
      </c>
      <c r="C389" t="s">
        <v>69</v>
      </c>
      <c r="D389" t="s">
        <v>14</v>
      </c>
      <c r="E389">
        <v>25</v>
      </c>
      <c r="F389" t="s">
        <v>151</v>
      </c>
      <c r="G389" t="s">
        <v>16</v>
      </c>
      <c r="H389" s="6" t="s">
        <v>1673</v>
      </c>
      <c r="I389" s="11">
        <v>110625.52</v>
      </c>
      <c r="J389" t="s">
        <v>239</v>
      </c>
      <c r="K389">
        <v>-2967188396</v>
      </c>
      <c r="L389" t="s">
        <v>23</v>
      </c>
      <c r="M389" t="b">
        <v>1</v>
      </c>
      <c r="N389" s="17">
        <f t="shared" si="6"/>
        <v>45267</v>
      </c>
      <c r="O389" t="str">
        <f>LEFT(Table1[[#This Row],[Department_Region]], FIND("-", Table1[[#This Row],[Department_Region]]) - 1)</f>
        <v>HR</v>
      </c>
      <c r="P389" t="str">
        <f>RIGHT(Table1[[#This Row],[Department_Region]],LEN(Table1[[#This Row],[Department_Region]]) - FIND("-",Table1[[#This Row],[Department_Region]]))</f>
        <v>Nevada</v>
      </c>
      <c r="Q3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89" s="15"/>
    </row>
    <row r="390" spans="1:18" x14ac:dyDescent="0.2">
      <c r="A390" s="1">
        <v>388</v>
      </c>
      <c r="B390" s="6" t="s">
        <v>742</v>
      </c>
      <c r="C390" t="s">
        <v>37</v>
      </c>
      <c r="D390" t="s">
        <v>124</v>
      </c>
      <c r="E390">
        <v>30</v>
      </c>
      <c r="F390" t="s">
        <v>233</v>
      </c>
      <c r="G390" t="s">
        <v>33</v>
      </c>
      <c r="H390" s="6" t="s">
        <v>743</v>
      </c>
      <c r="I390" s="11">
        <v>90419.79</v>
      </c>
      <c r="J390" t="s">
        <v>139</v>
      </c>
      <c r="K390">
        <v>-7457314414</v>
      </c>
      <c r="L390" t="s">
        <v>18</v>
      </c>
      <c r="M390" t="b">
        <v>1</v>
      </c>
      <c r="N390" s="17">
        <f t="shared" si="6"/>
        <v>44122</v>
      </c>
      <c r="O390" t="str">
        <f>LEFT(Table1[[#This Row],[Department_Region]], FIND("-", Table1[[#This Row],[Department_Region]]) - 1)</f>
        <v>DevOps</v>
      </c>
      <c r="P390" t="str">
        <f>RIGHT(Table1[[#This Row],[Department_Region]],LEN(Table1[[#This Row],[Department_Region]]) - FIND("-",Table1[[#This Row],[Department_Region]]))</f>
        <v>Florida</v>
      </c>
      <c r="Q3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90" s="15"/>
    </row>
    <row r="391" spans="1:18" x14ac:dyDescent="0.2">
      <c r="A391" s="1">
        <v>389</v>
      </c>
      <c r="B391" s="6" t="s">
        <v>744</v>
      </c>
      <c r="C391" t="s">
        <v>69</v>
      </c>
      <c r="D391" t="s">
        <v>124</v>
      </c>
      <c r="E391">
        <v>40</v>
      </c>
      <c r="F391" t="s">
        <v>21</v>
      </c>
      <c r="G391" t="s">
        <v>28</v>
      </c>
      <c r="H391" s="6" t="s">
        <v>745</v>
      </c>
      <c r="I391" s="11">
        <v>111608.76</v>
      </c>
      <c r="J391" t="s">
        <v>137</v>
      </c>
      <c r="K391">
        <v>-8331170302</v>
      </c>
      <c r="L391" t="s">
        <v>30</v>
      </c>
      <c r="M391" t="b">
        <v>1</v>
      </c>
      <c r="N391" s="17">
        <f t="shared" si="6"/>
        <v>45458</v>
      </c>
      <c r="O391" t="str">
        <f>LEFT(Table1[[#This Row],[Department_Region]], FIND("-", Table1[[#This Row],[Department_Region]]) - 1)</f>
        <v>Finance</v>
      </c>
      <c r="P391" t="str">
        <f>RIGHT(Table1[[#This Row],[Department_Region]],LEN(Table1[[#This Row],[Department_Region]]) - FIND("-",Table1[[#This Row],[Department_Region]]))</f>
        <v>Texas</v>
      </c>
      <c r="Q3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391" s="15"/>
    </row>
    <row r="392" spans="1:18" x14ac:dyDescent="0.2">
      <c r="A392" s="1">
        <v>390</v>
      </c>
      <c r="B392" s="6" t="s">
        <v>746</v>
      </c>
      <c r="C392" t="s">
        <v>32</v>
      </c>
      <c r="D392" t="s">
        <v>38</v>
      </c>
      <c r="E392">
        <v>35</v>
      </c>
      <c r="F392" t="s">
        <v>113</v>
      </c>
      <c r="G392" t="s">
        <v>33</v>
      </c>
      <c r="H392" s="6" t="s">
        <v>1811</v>
      </c>
      <c r="I392" s="11">
        <v>50173.120000000003</v>
      </c>
      <c r="J392" t="s">
        <v>143</v>
      </c>
      <c r="K392">
        <v>-7637153987</v>
      </c>
      <c r="L392" t="s">
        <v>41</v>
      </c>
      <c r="M392" t="b">
        <v>0</v>
      </c>
      <c r="N392" s="17">
        <f t="shared" si="6"/>
        <v>45022</v>
      </c>
      <c r="O392" t="str">
        <f>LEFT(Table1[[#This Row],[Department_Region]], FIND("-", Table1[[#This Row],[Department_Region]]) - 1)</f>
        <v>Finance</v>
      </c>
      <c r="P392" t="str">
        <f>RIGHT(Table1[[#This Row],[Department_Region]],LEN(Table1[[#This Row],[Department_Region]]) - FIND("-",Table1[[#This Row],[Department_Region]]))</f>
        <v>Florida</v>
      </c>
      <c r="Q3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92" s="15"/>
    </row>
    <row r="393" spans="1:18" x14ac:dyDescent="0.2">
      <c r="A393" s="1">
        <v>391</v>
      </c>
      <c r="B393" s="6" t="s">
        <v>747</v>
      </c>
      <c r="C393" t="s">
        <v>13</v>
      </c>
      <c r="D393" t="s">
        <v>38</v>
      </c>
      <c r="E393">
        <v>40</v>
      </c>
      <c r="F393" t="s">
        <v>333</v>
      </c>
      <c r="G393" t="s">
        <v>28</v>
      </c>
      <c r="H393" s="6" t="s">
        <v>1812</v>
      </c>
      <c r="I393" s="11">
        <v>109507.44</v>
      </c>
      <c r="J393" t="s">
        <v>146</v>
      </c>
      <c r="K393">
        <v>-5472812355</v>
      </c>
      <c r="L393" t="s">
        <v>30</v>
      </c>
      <c r="M393" t="b">
        <v>0</v>
      </c>
      <c r="N393" s="17">
        <f t="shared" si="6"/>
        <v>44564</v>
      </c>
      <c r="O393" t="str">
        <f>LEFT(Table1[[#This Row],[Department_Region]], FIND("-", Table1[[#This Row],[Department_Region]]) - 1)</f>
        <v>DevOps</v>
      </c>
      <c r="P393" t="str">
        <f>RIGHT(Table1[[#This Row],[Department_Region]],LEN(Table1[[#This Row],[Department_Region]]) - FIND("-",Table1[[#This Row],[Department_Region]]))</f>
        <v>Nevada</v>
      </c>
      <c r="Q3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93" s="15"/>
    </row>
    <row r="394" spans="1:18" x14ac:dyDescent="0.2">
      <c r="A394" s="1">
        <v>392</v>
      </c>
      <c r="B394" s="6" t="s">
        <v>748</v>
      </c>
      <c r="C394" t="s">
        <v>69</v>
      </c>
      <c r="D394" t="s">
        <v>43</v>
      </c>
      <c r="E394">
        <v>30</v>
      </c>
      <c r="F394" t="s">
        <v>230</v>
      </c>
      <c r="G394" t="s">
        <v>33</v>
      </c>
      <c r="H394" s="6" t="s">
        <v>1706</v>
      </c>
      <c r="I394" s="11">
        <v>72600.56</v>
      </c>
      <c r="J394" t="s">
        <v>84</v>
      </c>
      <c r="K394">
        <v>-7983631461</v>
      </c>
      <c r="L394" t="s">
        <v>23</v>
      </c>
      <c r="M394" t="b">
        <v>0</v>
      </c>
      <c r="N394" s="17">
        <f t="shared" si="6"/>
        <v>44380</v>
      </c>
      <c r="O394" t="str">
        <f>LEFT(Table1[[#This Row],[Department_Region]], FIND("-", Table1[[#This Row],[Department_Region]]) - 1)</f>
        <v>Finance</v>
      </c>
      <c r="P394" t="str">
        <f>RIGHT(Table1[[#This Row],[Department_Region]],LEN(Table1[[#This Row],[Department_Region]]) - FIND("-",Table1[[#This Row],[Department_Region]]))</f>
        <v>New York</v>
      </c>
      <c r="Q3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94" s="15"/>
    </row>
    <row r="395" spans="1:18" x14ac:dyDescent="0.2">
      <c r="A395" s="1">
        <v>393</v>
      </c>
      <c r="B395" s="6" t="s">
        <v>749</v>
      </c>
      <c r="C395" t="s">
        <v>54</v>
      </c>
      <c r="D395" t="s">
        <v>43</v>
      </c>
      <c r="E395">
        <v>32</v>
      </c>
      <c r="F395" t="s">
        <v>70</v>
      </c>
      <c r="G395" t="s">
        <v>28</v>
      </c>
      <c r="H395" s="6" t="s">
        <v>1735</v>
      </c>
      <c r="I395" s="11">
        <v>53388.65</v>
      </c>
      <c r="J395" t="s">
        <v>88</v>
      </c>
      <c r="K395">
        <v>-4912711306</v>
      </c>
      <c r="L395" t="s">
        <v>41</v>
      </c>
      <c r="M395" t="b">
        <v>1</v>
      </c>
      <c r="N395" s="17">
        <f t="shared" si="6"/>
        <v>45392</v>
      </c>
      <c r="O395" t="str">
        <f>LEFT(Table1[[#This Row],[Department_Region]], FIND("-", Table1[[#This Row],[Department_Region]]) - 1)</f>
        <v>Finance</v>
      </c>
      <c r="P395" t="str">
        <f>RIGHT(Table1[[#This Row],[Department_Region]],LEN(Table1[[#This Row],[Department_Region]]) - FIND("-",Table1[[#This Row],[Department_Region]]))</f>
        <v>California</v>
      </c>
      <c r="Q3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95" s="15"/>
    </row>
    <row r="396" spans="1:18" x14ac:dyDescent="0.2">
      <c r="A396" s="1">
        <v>394</v>
      </c>
      <c r="B396" s="6" t="s">
        <v>750</v>
      </c>
      <c r="C396" t="s">
        <v>65</v>
      </c>
      <c r="D396" t="s">
        <v>38</v>
      </c>
      <c r="E396">
        <v>25</v>
      </c>
      <c r="F396" t="s">
        <v>60</v>
      </c>
      <c r="G396" t="s">
        <v>33</v>
      </c>
      <c r="H396" s="6" t="s">
        <v>751</v>
      </c>
      <c r="I396" s="11">
        <v>50047.32</v>
      </c>
      <c r="J396" t="s">
        <v>67</v>
      </c>
      <c r="K396">
        <v>-2407875417</v>
      </c>
      <c r="L396" t="s">
        <v>30</v>
      </c>
      <c r="M396" t="b">
        <v>0</v>
      </c>
      <c r="N396" s="17">
        <f t="shared" si="6"/>
        <v>44765</v>
      </c>
      <c r="O396" t="str">
        <f>LEFT(Table1[[#This Row],[Department_Region]], FIND("-", Table1[[#This Row],[Department_Region]]) - 1)</f>
        <v>Cloud Tech</v>
      </c>
      <c r="P396" t="str">
        <f>RIGHT(Table1[[#This Row],[Department_Region]],LEN(Table1[[#This Row],[Department_Region]]) - FIND("-",Table1[[#This Row],[Department_Region]]))</f>
        <v>New York</v>
      </c>
      <c r="Q3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96" s="15"/>
    </row>
    <row r="397" spans="1:18" x14ac:dyDescent="0.2">
      <c r="A397" s="1">
        <v>395</v>
      </c>
      <c r="B397" s="6" t="s">
        <v>752</v>
      </c>
      <c r="C397" t="s">
        <v>59</v>
      </c>
      <c r="D397" t="s">
        <v>20</v>
      </c>
      <c r="E397">
        <v>30</v>
      </c>
      <c r="F397" t="s">
        <v>15</v>
      </c>
      <c r="G397" t="s">
        <v>16</v>
      </c>
      <c r="H397" s="6" t="s">
        <v>753</v>
      </c>
      <c r="I397" s="11">
        <v>115290.79</v>
      </c>
      <c r="J397" t="s">
        <v>228</v>
      </c>
      <c r="K397">
        <v>-1563268684</v>
      </c>
      <c r="L397" t="s">
        <v>41</v>
      </c>
      <c r="M397" t="b">
        <v>0</v>
      </c>
      <c r="N397" s="17">
        <f t="shared" si="6"/>
        <v>45621</v>
      </c>
      <c r="O397" t="str">
        <f>LEFT(Table1[[#This Row],[Department_Region]], FIND("-", Table1[[#This Row],[Department_Region]]) - 1)</f>
        <v>DevOps</v>
      </c>
      <c r="P397" t="str">
        <f>RIGHT(Table1[[#This Row],[Department_Region]],LEN(Table1[[#This Row],[Department_Region]]) - FIND("-",Table1[[#This Row],[Department_Region]]))</f>
        <v>California</v>
      </c>
      <c r="Q3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397" s="15"/>
    </row>
    <row r="398" spans="1:18" x14ac:dyDescent="0.2">
      <c r="A398" s="1">
        <v>396</v>
      </c>
      <c r="B398" s="6" t="s">
        <v>754</v>
      </c>
      <c r="C398" t="s">
        <v>37</v>
      </c>
      <c r="D398" t="s">
        <v>43</v>
      </c>
      <c r="E398">
        <v>35</v>
      </c>
      <c r="F398" t="s">
        <v>272</v>
      </c>
      <c r="G398" t="s">
        <v>28</v>
      </c>
      <c r="H398" s="6" t="s">
        <v>647</v>
      </c>
      <c r="I398" s="11">
        <v>61586.76</v>
      </c>
      <c r="J398" t="s">
        <v>183</v>
      </c>
      <c r="K398">
        <v>-745106633</v>
      </c>
      <c r="L398" t="s">
        <v>23</v>
      </c>
      <c r="M398" t="b">
        <v>0</v>
      </c>
      <c r="N398" s="17">
        <f t="shared" si="6"/>
        <v>45159</v>
      </c>
      <c r="O398" t="str">
        <f>LEFT(Table1[[#This Row],[Department_Region]], FIND("-", Table1[[#This Row],[Department_Region]]) - 1)</f>
        <v>Cloud Tech</v>
      </c>
      <c r="P398" t="str">
        <f>RIGHT(Table1[[#This Row],[Department_Region]],LEN(Table1[[#This Row],[Department_Region]]) - FIND("-",Table1[[#This Row],[Department_Region]]))</f>
        <v>California</v>
      </c>
      <c r="Q3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98" s="15"/>
    </row>
    <row r="399" spans="1:18" x14ac:dyDescent="0.2">
      <c r="A399" s="1">
        <v>397</v>
      </c>
      <c r="B399" s="6" t="s">
        <v>755</v>
      </c>
      <c r="C399" t="s">
        <v>32</v>
      </c>
      <c r="D399" t="s">
        <v>93</v>
      </c>
      <c r="E399">
        <v>30</v>
      </c>
      <c r="F399" t="s">
        <v>101</v>
      </c>
      <c r="G399" t="s">
        <v>16</v>
      </c>
      <c r="H399" s="6" t="s">
        <v>756</v>
      </c>
      <c r="I399" s="11">
        <v>56662.86</v>
      </c>
      <c r="J399" t="s">
        <v>267</v>
      </c>
      <c r="K399">
        <v>-3629489785</v>
      </c>
      <c r="L399" t="s">
        <v>18</v>
      </c>
      <c r="M399" t="b">
        <v>1</v>
      </c>
      <c r="N399" s="17">
        <f t="shared" si="6"/>
        <v>45272</v>
      </c>
      <c r="O399" t="str">
        <f>LEFT(Table1[[#This Row],[Department_Region]], FIND("-", Table1[[#This Row],[Department_Region]]) - 1)</f>
        <v>Finance</v>
      </c>
      <c r="P399" t="str">
        <f>RIGHT(Table1[[#This Row],[Department_Region]],LEN(Table1[[#This Row],[Department_Region]]) - FIND("-",Table1[[#This Row],[Department_Region]]))</f>
        <v>Nevada</v>
      </c>
      <c r="Q3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399" s="15"/>
    </row>
    <row r="400" spans="1:18" x14ac:dyDescent="0.2">
      <c r="A400" s="1">
        <v>398</v>
      </c>
      <c r="B400" s="6" t="s">
        <v>757</v>
      </c>
      <c r="C400" t="s">
        <v>13</v>
      </c>
      <c r="D400" t="s">
        <v>43</v>
      </c>
      <c r="E400">
        <v>30</v>
      </c>
      <c r="F400" t="s">
        <v>110</v>
      </c>
      <c r="G400" t="s">
        <v>28</v>
      </c>
      <c r="H400" s="6" t="s">
        <v>758</v>
      </c>
      <c r="I400" s="11">
        <v>85165.05</v>
      </c>
      <c r="J400" t="s">
        <v>155</v>
      </c>
      <c r="K400">
        <v>-1031310093</v>
      </c>
      <c r="L400" t="s">
        <v>23</v>
      </c>
      <c r="M400" t="b">
        <v>1</v>
      </c>
      <c r="N400" s="17">
        <f t="shared" si="6"/>
        <v>45223</v>
      </c>
      <c r="O400" t="str">
        <f>LEFT(Table1[[#This Row],[Department_Region]], FIND("-", Table1[[#This Row],[Department_Region]]) - 1)</f>
        <v>Sales</v>
      </c>
      <c r="P400" t="str">
        <f>RIGHT(Table1[[#This Row],[Department_Region]],LEN(Table1[[#This Row],[Department_Region]]) - FIND("-",Table1[[#This Row],[Department_Region]]))</f>
        <v>New York</v>
      </c>
      <c r="Q4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0" s="15"/>
    </row>
    <row r="401" spans="1:18" x14ac:dyDescent="0.2">
      <c r="A401" s="1">
        <v>399</v>
      </c>
      <c r="B401" s="6" t="s">
        <v>759</v>
      </c>
      <c r="C401" t="s">
        <v>37</v>
      </c>
      <c r="D401" t="s">
        <v>124</v>
      </c>
      <c r="E401">
        <v>25</v>
      </c>
      <c r="F401" t="s">
        <v>101</v>
      </c>
      <c r="G401" t="s">
        <v>16</v>
      </c>
      <c r="H401" s="6" t="s">
        <v>1813</v>
      </c>
      <c r="I401" s="11">
        <v>54957.98</v>
      </c>
      <c r="J401" t="s">
        <v>139</v>
      </c>
      <c r="K401">
        <v>-3181439665</v>
      </c>
      <c r="L401" t="s">
        <v>23</v>
      </c>
      <c r="M401" t="b">
        <v>1</v>
      </c>
      <c r="N401" s="17">
        <f t="shared" si="6"/>
        <v>44809</v>
      </c>
      <c r="O401" t="str">
        <f>LEFT(Table1[[#This Row],[Department_Region]], FIND("-", Table1[[#This Row],[Department_Region]]) - 1)</f>
        <v>Finance</v>
      </c>
      <c r="P401" t="str">
        <f>RIGHT(Table1[[#This Row],[Department_Region]],LEN(Table1[[#This Row],[Department_Region]]) - FIND("-",Table1[[#This Row],[Department_Region]]))</f>
        <v>Nevada</v>
      </c>
      <c r="Q4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01" s="15"/>
    </row>
    <row r="402" spans="1:18" x14ac:dyDescent="0.2">
      <c r="A402" s="1">
        <v>400</v>
      </c>
      <c r="B402" s="6" t="s">
        <v>760</v>
      </c>
      <c r="C402" t="s">
        <v>13</v>
      </c>
      <c r="D402" t="s">
        <v>43</v>
      </c>
      <c r="E402">
        <v>25</v>
      </c>
      <c r="F402" t="s">
        <v>148</v>
      </c>
      <c r="G402" t="s">
        <v>33</v>
      </c>
      <c r="H402" s="6" t="s">
        <v>1767</v>
      </c>
      <c r="I402" s="11">
        <v>76790.47</v>
      </c>
      <c r="J402" t="s">
        <v>155</v>
      </c>
      <c r="K402">
        <v>-1347323548</v>
      </c>
      <c r="L402" t="s">
        <v>23</v>
      </c>
      <c r="M402" t="b">
        <v>1</v>
      </c>
      <c r="N402" s="17">
        <f t="shared" si="6"/>
        <v>44111</v>
      </c>
      <c r="O402" t="str">
        <f>LEFT(Table1[[#This Row],[Department_Region]], FIND("-", Table1[[#This Row],[Department_Region]]) - 1)</f>
        <v>HR</v>
      </c>
      <c r="P402" t="str">
        <f>RIGHT(Table1[[#This Row],[Department_Region]],LEN(Table1[[#This Row],[Department_Region]]) - FIND("-",Table1[[#This Row],[Department_Region]]))</f>
        <v>California</v>
      </c>
      <c r="Q4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2" s="15"/>
    </row>
    <row r="403" spans="1:18" x14ac:dyDescent="0.2">
      <c r="A403" s="1">
        <v>401</v>
      </c>
      <c r="B403" s="6" t="s">
        <v>761</v>
      </c>
      <c r="C403" t="s">
        <v>54</v>
      </c>
      <c r="D403" t="s">
        <v>20</v>
      </c>
      <c r="E403">
        <v>30</v>
      </c>
      <c r="F403" t="s">
        <v>96</v>
      </c>
      <c r="G403" t="s">
        <v>28</v>
      </c>
      <c r="H403" s="6" t="s">
        <v>762</v>
      </c>
      <c r="I403" s="11">
        <v>92722.35</v>
      </c>
      <c r="J403" t="s">
        <v>127</v>
      </c>
      <c r="K403">
        <v>-4012897431</v>
      </c>
      <c r="L403" t="s">
        <v>23</v>
      </c>
      <c r="M403" t="b">
        <v>0</v>
      </c>
      <c r="N403" s="17">
        <f t="shared" si="6"/>
        <v>43848</v>
      </c>
      <c r="O403" t="str">
        <f>LEFT(Table1[[#This Row],[Department_Region]], FIND("-", Table1[[#This Row],[Department_Region]]) - 1)</f>
        <v>Cloud Tech</v>
      </c>
      <c r="P403" t="str">
        <f>RIGHT(Table1[[#This Row],[Department_Region]],LEN(Table1[[#This Row],[Department_Region]]) - FIND("-",Table1[[#This Row],[Department_Region]]))</f>
        <v>Illinois</v>
      </c>
      <c r="Q4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3" s="15"/>
    </row>
    <row r="404" spans="1:18" x14ac:dyDescent="0.2">
      <c r="A404" s="1">
        <v>402</v>
      </c>
      <c r="B404" s="6" t="s">
        <v>763</v>
      </c>
      <c r="C404" t="s">
        <v>37</v>
      </c>
      <c r="D404" t="s">
        <v>38</v>
      </c>
      <c r="E404">
        <v>30</v>
      </c>
      <c r="F404" t="s">
        <v>333</v>
      </c>
      <c r="G404" t="s">
        <v>16</v>
      </c>
      <c r="H404" s="6" t="s">
        <v>764</v>
      </c>
      <c r="I404" s="11">
        <v>93125.32</v>
      </c>
      <c r="J404" t="s">
        <v>40</v>
      </c>
      <c r="K404">
        <v>-5122572075</v>
      </c>
      <c r="L404" t="s">
        <v>18</v>
      </c>
      <c r="M404" t="b">
        <v>0</v>
      </c>
      <c r="N404" s="17">
        <f t="shared" si="6"/>
        <v>44674</v>
      </c>
      <c r="O404" t="str">
        <f>LEFT(Table1[[#This Row],[Department_Region]], FIND("-", Table1[[#This Row],[Department_Region]]) - 1)</f>
        <v>DevOps</v>
      </c>
      <c r="P404" t="str">
        <f>RIGHT(Table1[[#This Row],[Department_Region]],LEN(Table1[[#This Row],[Department_Region]]) - FIND("-",Table1[[#This Row],[Department_Region]]))</f>
        <v>Nevada</v>
      </c>
      <c r="Q4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4" s="15"/>
    </row>
    <row r="405" spans="1:18" x14ac:dyDescent="0.2">
      <c r="A405" s="1">
        <v>403</v>
      </c>
      <c r="B405" s="6" t="s">
        <v>765</v>
      </c>
      <c r="C405" t="s">
        <v>59</v>
      </c>
      <c r="D405" t="s">
        <v>124</v>
      </c>
      <c r="E405">
        <v>25</v>
      </c>
      <c r="F405" t="s">
        <v>60</v>
      </c>
      <c r="G405" t="s">
        <v>16</v>
      </c>
      <c r="H405" s="6" t="s">
        <v>766</v>
      </c>
      <c r="I405" s="11">
        <v>101100.64</v>
      </c>
      <c r="J405" t="s">
        <v>346</v>
      </c>
      <c r="K405">
        <v>-5024120956</v>
      </c>
      <c r="L405" t="s">
        <v>18</v>
      </c>
      <c r="M405" t="b">
        <v>0</v>
      </c>
      <c r="N405" s="17">
        <f t="shared" si="6"/>
        <v>45038</v>
      </c>
      <c r="O405" t="str">
        <f>LEFT(Table1[[#This Row],[Department_Region]], FIND("-", Table1[[#This Row],[Department_Region]]) - 1)</f>
        <v>Cloud Tech</v>
      </c>
      <c r="P405" t="str">
        <f>RIGHT(Table1[[#This Row],[Department_Region]],LEN(Table1[[#This Row],[Department_Region]]) - FIND("-",Table1[[#This Row],[Department_Region]]))</f>
        <v>New York</v>
      </c>
      <c r="Q4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5" s="15"/>
    </row>
    <row r="406" spans="1:18" x14ac:dyDescent="0.2">
      <c r="A406" s="1">
        <v>404</v>
      </c>
      <c r="B406" s="6" t="s">
        <v>767</v>
      </c>
      <c r="C406" t="s">
        <v>69</v>
      </c>
      <c r="D406" t="s">
        <v>43</v>
      </c>
      <c r="E406">
        <v>35</v>
      </c>
      <c r="F406" t="s">
        <v>199</v>
      </c>
      <c r="G406" t="s">
        <v>33</v>
      </c>
      <c r="H406" s="6" t="s">
        <v>768</v>
      </c>
      <c r="I406" s="11">
        <v>55897.41</v>
      </c>
      <c r="J406" t="s">
        <v>84</v>
      </c>
      <c r="K406">
        <v>-9073710093</v>
      </c>
      <c r="L406" t="s">
        <v>41</v>
      </c>
      <c r="M406" t="b">
        <v>0</v>
      </c>
      <c r="N406" s="17">
        <f t="shared" si="6"/>
        <v>45151</v>
      </c>
      <c r="O406" t="str">
        <f>LEFT(Table1[[#This Row],[Department_Region]], FIND("-", Table1[[#This Row],[Department_Region]]) - 1)</f>
        <v>Admin</v>
      </c>
      <c r="P406" t="str">
        <f>RIGHT(Table1[[#This Row],[Department_Region]],LEN(Table1[[#This Row],[Department_Region]]) - FIND("-",Table1[[#This Row],[Department_Region]]))</f>
        <v>New York</v>
      </c>
      <c r="Q4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6" s="15"/>
    </row>
    <row r="407" spans="1:18" x14ac:dyDescent="0.2">
      <c r="A407" s="1">
        <v>405</v>
      </c>
      <c r="B407" s="6" t="s">
        <v>769</v>
      </c>
      <c r="C407" t="s">
        <v>32</v>
      </c>
      <c r="D407" t="s">
        <v>20</v>
      </c>
      <c r="E407">
        <v>25</v>
      </c>
      <c r="F407" t="s">
        <v>15</v>
      </c>
      <c r="G407" t="s">
        <v>16</v>
      </c>
      <c r="H407" s="6" t="s">
        <v>206</v>
      </c>
      <c r="I407" s="11">
        <v>92484.88</v>
      </c>
      <c r="J407" t="s">
        <v>157</v>
      </c>
      <c r="K407">
        <v>-3882211456</v>
      </c>
      <c r="L407" t="s">
        <v>30</v>
      </c>
      <c r="M407" t="b">
        <v>1</v>
      </c>
      <c r="N407" s="17">
        <f t="shared" si="6"/>
        <v>44891</v>
      </c>
      <c r="O407" t="str">
        <f>LEFT(Table1[[#This Row],[Department_Region]], FIND("-", Table1[[#This Row],[Department_Region]]) - 1)</f>
        <v>DevOps</v>
      </c>
      <c r="P407" t="str">
        <f>RIGHT(Table1[[#This Row],[Department_Region]],LEN(Table1[[#This Row],[Department_Region]]) - FIND("-",Table1[[#This Row],[Department_Region]]))</f>
        <v>California</v>
      </c>
      <c r="Q4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07" s="15"/>
    </row>
    <row r="408" spans="1:18" x14ac:dyDescent="0.2">
      <c r="A408" s="1">
        <v>406</v>
      </c>
      <c r="B408" s="6" t="s">
        <v>770</v>
      </c>
      <c r="C408" t="s">
        <v>69</v>
      </c>
      <c r="D408" t="s">
        <v>93</v>
      </c>
      <c r="E408">
        <v>35</v>
      </c>
      <c r="F408" t="s">
        <v>241</v>
      </c>
      <c r="G408" t="s">
        <v>16</v>
      </c>
      <c r="H408" s="6" t="s">
        <v>771</v>
      </c>
      <c r="I408" s="11">
        <v>77011.990000000005</v>
      </c>
      <c r="J408" t="s">
        <v>170</v>
      </c>
      <c r="K408">
        <v>-7584745704</v>
      </c>
      <c r="L408" t="s">
        <v>18</v>
      </c>
      <c r="M408" t="b">
        <v>1</v>
      </c>
      <c r="N408" s="17">
        <f t="shared" si="6"/>
        <v>44844</v>
      </c>
      <c r="O408" t="str">
        <f>LEFT(Table1[[#This Row],[Department_Region]], FIND("-", Table1[[#This Row],[Department_Region]]) - 1)</f>
        <v>DevOps</v>
      </c>
      <c r="P408" t="str">
        <f>RIGHT(Table1[[#This Row],[Department_Region]],LEN(Table1[[#This Row],[Department_Region]]) - FIND("-",Table1[[#This Row],[Department_Region]]))</f>
        <v>Texas</v>
      </c>
      <c r="Q4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08" s="15"/>
    </row>
    <row r="409" spans="1:18" x14ac:dyDescent="0.2">
      <c r="A409" s="1">
        <v>407</v>
      </c>
      <c r="B409" s="6" t="s">
        <v>772</v>
      </c>
      <c r="C409" t="s">
        <v>13</v>
      </c>
      <c r="D409" t="s">
        <v>43</v>
      </c>
      <c r="E409">
        <v>32</v>
      </c>
      <c r="F409" t="s">
        <v>272</v>
      </c>
      <c r="G409" t="s">
        <v>33</v>
      </c>
      <c r="H409" s="6" t="s">
        <v>610</v>
      </c>
      <c r="I409" s="11">
        <v>77078.679999999993</v>
      </c>
      <c r="J409" t="s">
        <v>155</v>
      </c>
      <c r="K409">
        <v>-4589714801</v>
      </c>
      <c r="L409" t="s">
        <v>18</v>
      </c>
      <c r="M409" t="b">
        <v>1</v>
      </c>
      <c r="N409" s="17">
        <f t="shared" si="6"/>
        <v>44101</v>
      </c>
      <c r="O409" t="str">
        <f>LEFT(Table1[[#This Row],[Department_Region]], FIND("-", Table1[[#This Row],[Department_Region]]) - 1)</f>
        <v>Cloud Tech</v>
      </c>
      <c r="P409" t="str">
        <f>RIGHT(Table1[[#This Row],[Department_Region]],LEN(Table1[[#This Row],[Department_Region]]) - FIND("-",Table1[[#This Row],[Department_Region]]))</f>
        <v>California</v>
      </c>
      <c r="Q4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09" s="15"/>
    </row>
    <row r="410" spans="1:18" x14ac:dyDescent="0.2">
      <c r="A410" s="1">
        <v>408</v>
      </c>
      <c r="B410" s="6" t="s">
        <v>773</v>
      </c>
      <c r="C410" t="s">
        <v>69</v>
      </c>
      <c r="D410" t="s">
        <v>20</v>
      </c>
      <c r="E410">
        <v>35</v>
      </c>
      <c r="F410" t="s">
        <v>222</v>
      </c>
      <c r="G410" t="s">
        <v>16</v>
      </c>
      <c r="H410" s="6" t="s">
        <v>1814</v>
      </c>
      <c r="I410" s="11">
        <v>82971.02</v>
      </c>
      <c r="J410" t="s">
        <v>204</v>
      </c>
      <c r="K410">
        <v>-6325703964</v>
      </c>
      <c r="L410" t="s">
        <v>30</v>
      </c>
      <c r="M410" t="b">
        <v>0</v>
      </c>
      <c r="N410" s="17">
        <f t="shared" si="6"/>
        <v>45393</v>
      </c>
      <c r="O410" t="str">
        <f>LEFT(Table1[[#This Row],[Department_Region]], FIND("-", Table1[[#This Row],[Department_Region]]) - 1)</f>
        <v>Sales</v>
      </c>
      <c r="P410" t="str">
        <f>RIGHT(Table1[[#This Row],[Department_Region]],LEN(Table1[[#This Row],[Department_Region]]) - FIND("-",Table1[[#This Row],[Department_Region]]))</f>
        <v>Nevada</v>
      </c>
      <c r="Q4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10" s="15"/>
    </row>
    <row r="411" spans="1:18" x14ac:dyDescent="0.2">
      <c r="A411" s="1">
        <v>409</v>
      </c>
      <c r="B411" s="6" t="s">
        <v>774</v>
      </c>
      <c r="C411" t="s">
        <v>13</v>
      </c>
      <c r="D411" t="s">
        <v>93</v>
      </c>
      <c r="E411">
        <v>25</v>
      </c>
      <c r="F411" t="s">
        <v>44</v>
      </c>
      <c r="G411" t="s">
        <v>16</v>
      </c>
      <c r="H411" s="6" t="s">
        <v>159</v>
      </c>
      <c r="I411" s="11">
        <v>65102.01</v>
      </c>
      <c r="J411" t="s">
        <v>94</v>
      </c>
      <c r="K411">
        <v>-3136148781</v>
      </c>
      <c r="L411" t="s">
        <v>18</v>
      </c>
      <c r="M411" t="b">
        <v>1</v>
      </c>
      <c r="N411" s="17">
        <f t="shared" si="6"/>
        <v>44367</v>
      </c>
      <c r="O411" t="str">
        <f>LEFT(Table1[[#This Row],[Department_Region]], FIND("-", Table1[[#This Row],[Department_Region]]) - 1)</f>
        <v>Sales</v>
      </c>
      <c r="P411" t="str">
        <f>RIGHT(Table1[[#This Row],[Department_Region]],LEN(Table1[[#This Row],[Department_Region]]) - FIND("-",Table1[[#This Row],[Department_Region]]))</f>
        <v>Texas</v>
      </c>
      <c r="Q4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11" s="15"/>
    </row>
    <row r="412" spans="1:18" x14ac:dyDescent="0.2">
      <c r="A412" s="1">
        <v>410</v>
      </c>
      <c r="B412" s="6" t="s">
        <v>775</v>
      </c>
      <c r="C412" t="s">
        <v>69</v>
      </c>
      <c r="D412" t="s">
        <v>38</v>
      </c>
      <c r="E412">
        <v>32</v>
      </c>
      <c r="F412" t="s">
        <v>151</v>
      </c>
      <c r="G412" t="s">
        <v>28</v>
      </c>
      <c r="H412" s="6" t="s">
        <v>776</v>
      </c>
      <c r="I412" s="11">
        <v>103697.7</v>
      </c>
      <c r="J412" t="s">
        <v>72</v>
      </c>
      <c r="K412">
        <v>-4556964429</v>
      </c>
      <c r="L412" t="s">
        <v>23</v>
      </c>
      <c r="M412" t="b">
        <v>1</v>
      </c>
      <c r="N412" s="17">
        <f t="shared" si="6"/>
        <v>44857</v>
      </c>
      <c r="O412" t="str">
        <f>LEFT(Table1[[#This Row],[Department_Region]], FIND("-", Table1[[#This Row],[Department_Region]]) - 1)</f>
        <v>HR</v>
      </c>
      <c r="P412" t="str">
        <f>RIGHT(Table1[[#This Row],[Department_Region]],LEN(Table1[[#This Row],[Department_Region]]) - FIND("-",Table1[[#This Row],[Department_Region]]))</f>
        <v>Nevada</v>
      </c>
      <c r="Q4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12" s="15"/>
    </row>
    <row r="413" spans="1:18" x14ac:dyDescent="0.2">
      <c r="A413" s="1">
        <v>411</v>
      </c>
      <c r="B413" s="6" t="s">
        <v>777</v>
      </c>
      <c r="C413" t="s">
        <v>69</v>
      </c>
      <c r="D413" t="s">
        <v>43</v>
      </c>
      <c r="E413">
        <v>25</v>
      </c>
      <c r="F413" t="s">
        <v>79</v>
      </c>
      <c r="G413" t="s">
        <v>28</v>
      </c>
      <c r="H413" s="6" t="s">
        <v>736</v>
      </c>
      <c r="I413" s="11">
        <v>60687.63</v>
      </c>
      <c r="J413" t="s">
        <v>84</v>
      </c>
      <c r="K413">
        <v>-9859167953</v>
      </c>
      <c r="L413" t="s">
        <v>23</v>
      </c>
      <c r="M413" t="b">
        <v>0</v>
      </c>
      <c r="N413" s="17">
        <f t="shared" si="6"/>
        <v>45092</v>
      </c>
      <c r="O413" t="str">
        <f>LEFT(Table1[[#This Row],[Department_Region]], FIND("-", Table1[[#This Row],[Department_Region]]) - 1)</f>
        <v>DevOps</v>
      </c>
      <c r="P413" t="str">
        <f>RIGHT(Table1[[#This Row],[Department_Region]],LEN(Table1[[#This Row],[Department_Region]]) - FIND("-",Table1[[#This Row],[Department_Region]]))</f>
        <v>Illinois</v>
      </c>
      <c r="Q4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13" s="15"/>
    </row>
    <row r="414" spans="1:18" x14ac:dyDescent="0.2">
      <c r="A414" s="1">
        <v>412</v>
      </c>
      <c r="B414" s="6" t="s">
        <v>778</v>
      </c>
      <c r="C414" t="s">
        <v>13</v>
      </c>
      <c r="D414" t="s">
        <v>93</v>
      </c>
      <c r="E414">
        <v>32</v>
      </c>
      <c r="F414" t="s">
        <v>199</v>
      </c>
      <c r="G414" t="s">
        <v>28</v>
      </c>
      <c r="H414" s="6" t="s">
        <v>779</v>
      </c>
      <c r="I414" s="11">
        <v>77351.210000000006</v>
      </c>
      <c r="J414" t="s">
        <v>94</v>
      </c>
      <c r="K414">
        <v>-1072728497</v>
      </c>
      <c r="L414" t="s">
        <v>30</v>
      </c>
      <c r="M414" t="b">
        <v>0</v>
      </c>
      <c r="N414" s="17">
        <f t="shared" si="6"/>
        <v>44500</v>
      </c>
      <c r="O414" t="str">
        <f>LEFT(Table1[[#This Row],[Department_Region]], FIND("-", Table1[[#This Row],[Department_Region]]) - 1)</f>
        <v>Admin</v>
      </c>
      <c r="P414" t="str">
        <f>RIGHT(Table1[[#This Row],[Department_Region]],LEN(Table1[[#This Row],[Department_Region]]) - FIND("-",Table1[[#This Row],[Department_Region]]))</f>
        <v>New York</v>
      </c>
      <c r="Q4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14" s="15"/>
    </row>
    <row r="415" spans="1:18" x14ac:dyDescent="0.2">
      <c r="A415" s="1">
        <v>413</v>
      </c>
      <c r="B415" s="6" t="s">
        <v>780</v>
      </c>
      <c r="C415" t="s">
        <v>13</v>
      </c>
      <c r="D415" t="s">
        <v>124</v>
      </c>
      <c r="E415">
        <v>35</v>
      </c>
      <c r="F415" t="s">
        <v>233</v>
      </c>
      <c r="G415" t="s">
        <v>28</v>
      </c>
      <c r="H415" s="6" t="s">
        <v>781</v>
      </c>
      <c r="I415" s="11">
        <v>66704.62</v>
      </c>
      <c r="J415" t="s">
        <v>125</v>
      </c>
      <c r="K415">
        <v>-2474140702</v>
      </c>
      <c r="L415" t="s">
        <v>41</v>
      </c>
      <c r="M415" t="b">
        <v>1</v>
      </c>
      <c r="N415" s="17">
        <f t="shared" si="6"/>
        <v>45564</v>
      </c>
      <c r="O415" t="str">
        <f>LEFT(Table1[[#This Row],[Department_Region]], FIND("-", Table1[[#This Row],[Department_Region]]) - 1)</f>
        <v>DevOps</v>
      </c>
      <c r="P415" t="str">
        <f>RIGHT(Table1[[#This Row],[Department_Region]],LEN(Table1[[#This Row],[Department_Region]]) - FIND("-",Table1[[#This Row],[Department_Region]]))</f>
        <v>Florida</v>
      </c>
      <c r="Q4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15" s="15"/>
    </row>
    <row r="416" spans="1:18" x14ac:dyDescent="0.2">
      <c r="A416" s="1">
        <v>414</v>
      </c>
      <c r="B416" s="6" t="s">
        <v>782</v>
      </c>
      <c r="C416" t="s">
        <v>69</v>
      </c>
      <c r="D416" t="s">
        <v>38</v>
      </c>
      <c r="E416">
        <v>25</v>
      </c>
      <c r="F416" t="s">
        <v>269</v>
      </c>
      <c r="G416" t="s">
        <v>28</v>
      </c>
      <c r="H416" s="6" t="s">
        <v>783</v>
      </c>
      <c r="I416" s="11">
        <v>71650.3</v>
      </c>
      <c r="J416" t="s">
        <v>72</v>
      </c>
      <c r="K416">
        <v>-4910740649</v>
      </c>
      <c r="L416" t="s">
        <v>41</v>
      </c>
      <c r="M416" t="b">
        <v>1</v>
      </c>
      <c r="N416" s="17">
        <f t="shared" si="6"/>
        <v>43943</v>
      </c>
      <c r="O416" t="str">
        <f>LEFT(Table1[[#This Row],[Department_Region]], FIND("-", Table1[[#This Row],[Department_Region]]) - 1)</f>
        <v>Finance</v>
      </c>
      <c r="P416" t="str">
        <f>RIGHT(Table1[[#This Row],[Department_Region]],LEN(Table1[[#This Row],[Department_Region]]) - FIND("-",Table1[[#This Row],[Department_Region]]))</f>
        <v>Illinois</v>
      </c>
      <c r="Q4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16" s="15"/>
    </row>
    <row r="417" spans="1:18" x14ac:dyDescent="0.2">
      <c r="A417" s="1">
        <v>415</v>
      </c>
      <c r="B417" s="6" t="s">
        <v>784</v>
      </c>
      <c r="C417" t="s">
        <v>54</v>
      </c>
      <c r="D417" t="s">
        <v>124</v>
      </c>
      <c r="E417">
        <v>25</v>
      </c>
      <c r="F417" t="s">
        <v>86</v>
      </c>
      <c r="G417" t="s">
        <v>16</v>
      </c>
      <c r="H417" s="6" t="s">
        <v>1673</v>
      </c>
      <c r="I417" s="11">
        <v>50794.54</v>
      </c>
      <c r="J417" t="s">
        <v>197</v>
      </c>
      <c r="K417">
        <v>-425488213</v>
      </c>
      <c r="L417" t="s">
        <v>30</v>
      </c>
      <c r="M417" t="b">
        <v>1</v>
      </c>
      <c r="N417" s="17">
        <f t="shared" si="6"/>
        <v>45267</v>
      </c>
      <c r="O417" t="str">
        <f>LEFT(Table1[[#This Row],[Department_Region]], FIND("-", Table1[[#This Row],[Department_Region]]) - 1)</f>
        <v>Cloud Tech</v>
      </c>
      <c r="P417" t="str">
        <f>RIGHT(Table1[[#This Row],[Department_Region]],LEN(Table1[[#This Row],[Department_Region]]) - FIND("-",Table1[[#This Row],[Department_Region]]))</f>
        <v>Nevada</v>
      </c>
      <c r="Q4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17" s="15"/>
    </row>
    <row r="418" spans="1:18" x14ac:dyDescent="0.2">
      <c r="A418" s="1">
        <v>416</v>
      </c>
      <c r="B418" s="6" t="s">
        <v>785</v>
      </c>
      <c r="C418" t="s">
        <v>37</v>
      </c>
      <c r="D418" t="s">
        <v>26</v>
      </c>
      <c r="E418">
        <v>32</v>
      </c>
      <c r="F418" t="s">
        <v>222</v>
      </c>
      <c r="G418" t="s">
        <v>33</v>
      </c>
      <c r="H418" s="6" t="s">
        <v>1815</v>
      </c>
      <c r="I418" s="11">
        <v>76030.86</v>
      </c>
      <c r="J418" t="s">
        <v>47</v>
      </c>
      <c r="K418">
        <v>-2369143074</v>
      </c>
      <c r="L418" t="s">
        <v>30</v>
      </c>
      <c r="M418" t="b">
        <v>1</v>
      </c>
      <c r="N418" s="17">
        <f t="shared" si="6"/>
        <v>44172</v>
      </c>
      <c r="O418" t="str">
        <f>LEFT(Table1[[#This Row],[Department_Region]], FIND("-", Table1[[#This Row],[Department_Region]]) - 1)</f>
        <v>Sales</v>
      </c>
      <c r="P418" t="str">
        <f>RIGHT(Table1[[#This Row],[Department_Region]],LEN(Table1[[#This Row],[Department_Region]]) - FIND("-",Table1[[#This Row],[Department_Region]]))</f>
        <v>Nevada</v>
      </c>
      <c r="Q4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18" s="15"/>
    </row>
    <row r="419" spans="1:18" x14ac:dyDescent="0.2">
      <c r="A419" s="1">
        <v>417</v>
      </c>
      <c r="B419" s="6" t="s">
        <v>786</v>
      </c>
      <c r="C419" t="s">
        <v>32</v>
      </c>
      <c r="D419" t="s">
        <v>55</v>
      </c>
      <c r="E419">
        <v>25</v>
      </c>
      <c r="F419" t="s">
        <v>272</v>
      </c>
      <c r="G419" t="s">
        <v>33</v>
      </c>
      <c r="H419" s="6" t="s">
        <v>1738</v>
      </c>
      <c r="I419" s="11">
        <v>86669.79</v>
      </c>
      <c r="J419" t="s">
        <v>327</v>
      </c>
      <c r="K419">
        <v>-3666144941</v>
      </c>
      <c r="L419" t="s">
        <v>23</v>
      </c>
      <c r="M419" t="b">
        <v>1</v>
      </c>
      <c r="N419" s="17">
        <f t="shared" si="6"/>
        <v>44388</v>
      </c>
      <c r="O419" t="str">
        <f>LEFT(Table1[[#This Row],[Department_Region]], FIND("-", Table1[[#This Row],[Department_Region]]) - 1)</f>
        <v>Cloud Tech</v>
      </c>
      <c r="P419" t="str">
        <f>RIGHT(Table1[[#This Row],[Department_Region]],LEN(Table1[[#This Row],[Department_Region]]) - FIND("-",Table1[[#This Row],[Department_Region]]))</f>
        <v>California</v>
      </c>
      <c r="Q4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19" s="15"/>
    </row>
    <row r="420" spans="1:18" x14ac:dyDescent="0.2">
      <c r="A420" s="1">
        <v>418</v>
      </c>
      <c r="B420" s="6" t="s">
        <v>787</v>
      </c>
      <c r="C420" t="s">
        <v>13</v>
      </c>
      <c r="D420" t="s">
        <v>43</v>
      </c>
      <c r="E420">
        <v>40</v>
      </c>
      <c r="F420" t="s">
        <v>269</v>
      </c>
      <c r="G420" t="s">
        <v>33</v>
      </c>
      <c r="H420" s="6" t="s">
        <v>788</v>
      </c>
      <c r="I420" s="11">
        <v>84972.7</v>
      </c>
      <c r="J420" t="s">
        <v>155</v>
      </c>
      <c r="K420">
        <v>-9659234267</v>
      </c>
      <c r="L420" t="s">
        <v>41</v>
      </c>
      <c r="M420" t="b">
        <v>1</v>
      </c>
      <c r="N420" s="17">
        <f t="shared" si="6"/>
        <v>43944</v>
      </c>
      <c r="O420" t="str">
        <f>LEFT(Table1[[#This Row],[Department_Region]], FIND("-", Table1[[#This Row],[Department_Region]]) - 1)</f>
        <v>Finance</v>
      </c>
      <c r="P420" t="str">
        <f>RIGHT(Table1[[#This Row],[Department_Region]],LEN(Table1[[#This Row],[Department_Region]]) - FIND("-",Table1[[#This Row],[Department_Region]]))</f>
        <v>Illinois</v>
      </c>
      <c r="Q4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0" s="15"/>
    </row>
    <row r="421" spans="1:18" x14ac:dyDescent="0.2">
      <c r="A421" s="1">
        <v>419</v>
      </c>
      <c r="B421" s="6" t="s">
        <v>789</v>
      </c>
      <c r="C421" t="s">
        <v>37</v>
      </c>
      <c r="D421" t="s">
        <v>93</v>
      </c>
      <c r="E421">
        <v>30</v>
      </c>
      <c r="F421" t="s">
        <v>141</v>
      </c>
      <c r="G421" t="s">
        <v>28</v>
      </c>
      <c r="H421" s="6" t="s">
        <v>790</v>
      </c>
      <c r="I421" s="11">
        <v>100594.49</v>
      </c>
      <c r="J421" t="s">
        <v>111</v>
      </c>
      <c r="K421">
        <v>-3441497825</v>
      </c>
      <c r="L421" t="s">
        <v>18</v>
      </c>
      <c r="M421" t="b">
        <v>0</v>
      </c>
      <c r="N421" s="17">
        <f t="shared" si="6"/>
        <v>45211</v>
      </c>
      <c r="O421" t="str">
        <f>LEFT(Table1[[#This Row],[Department_Region]], FIND("-", Table1[[#This Row],[Department_Region]]) - 1)</f>
        <v>HR</v>
      </c>
      <c r="P421" t="str">
        <f>RIGHT(Table1[[#This Row],[Department_Region]],LEN(Table1[[#This Row],[Department_Region]]) - FIND("-",Table1[[#This Row],[Department_Region]]))</f>
        <v>Texas</v>
      </c>
      <c r="Q4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21" s="15"/>
    </row>
    <row r="422" spans="1:18" x14ac:dyDescent="0.2">
      <c r="A422" s="1">
        <v>420</v>
      </c>
      <c r="B422" s="6" t="s">
        <v>791</v>
      </c>
      <c r="C422" t="s">
        <v>25</v>
      </c>
      <c r="D422" t="s">
        <v>55</v>
      </c>
      <c r="E422">
        <v>25</v>
      </c>
      <c r="F422" t="s">
        <v>60</v>
      </c>
      <c r="G422" t="s">
        <v>16</v>
      </c>
      <c r="H422" s="6" t="s">
        <v>792</v>
      </c>
      <c r="I422" s="11">
        <v>75478.350000000006</v>
      </c>
      <c r="J422" t="s">
        <v>152</v>
      </c>
      <c r="K422">
        <v>-6128758574</v>
      </c>
      <c r="L422" t="s">
        <v>23</v>
      </c>
      <c r="M422" t="b">
        <v>0</v>
      </c>
      <c r="N422" s="17">
        <f t="shared" si="6"/>
        <v>44797</v>
      </c>
      <c r="O422" t="str">
        <f>LEFT(Table1[[#This Row],[Department_Region]], FIND("-", Table1[[#This Row],[Department_Region]]) - 1)</f>
        <v>Cloud Tech</v>
      </c>
      <c r="P422" t="str">
        <f>RIGHT(Table1[[#This Row],[Department_Region]],LEN(Table1[[#This Row],[Department_Region]]) - FIND("-",Table1[[#This Row],[Department_Region]]))</f>
        <v>New York</v>
      </c>
      <c r="Q4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22" s="15"/>
    </row>
    <row r="423" spans="1:18" x14ac:dyDescent="0.2">
      <c r="A423" s="1">
        <v>421</v>
      </c>
      <c r="B423" s="6" t="s">
        <v>793</v>
      </c>
      <c r="C423" t="s">
        <v>54</v>
      </c>
      <c r="D423" t="s">
        <v>55</v>
      </c>
      <c r="E423">
        <v>25</v>
      </c>
      <c r="F423" t="s">
        <v>222</v>
      </c>
      <c r="G423" t="s">
        <v>28</v>
      </c>
      <c r="H423" s="6" t="s">
        <v>1680</v>
      </c>
      <c r="I423" s="11">
        <v>79355.850000000006</v>
      </c>
      <c r="J423" t="s">
        <v>57</v>
      </c>
      <c r="K423">
        <v>-6766708060</v>
      </c>
      <c r="L423" t="s">
        <v>30</v>
      </c>
      <c r="M423" t="b">
        <v>0</v>
      </c>
      <c r="N423" s="17">
        <f t="shared" si="6"/>
        <v>45173</v>
      </c>
      <c r="O423" t="str">
        <f>LEFT(Table1[[#This Row],[Department_Region]], FIND("-", Table1[[#This Row],[Department_Region]]) - 1)</f>
        <v>Sales</v>
      </c>
      <c r="P423" t="str">
        <f>RIGHT(Table1[[#This Row],[Department_Region]],LEN(Table1[[#This Row],[Department_Region]]) - FIND("-",Table1[[#This Row],[Department_Region]]))</f>
        <v>Nevada</v>
      </c>
      <c r="Q4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3" s="15"/>
    </row>
    <row r="424" spans="1:18" x14ac:dyDescent="0.2">
      <c r="A424" s="1">
        <v>422</v>
      </c>
      <c r="B424" s="6" t="s">
        <v>794</v>
      </c>
      <c r="C424" t="s">
        <v>69</v>
      </c>
      <c r="D424" t="s">
        <v>93</v>
      </c>
      <c r="E424">
        <v>35</v>
      </c>
      <c r="F424" t="s">
        <v>141</v>
      </c>
      <c r="G424" t="s">
        <v>28</v>
      </c>
      <c r="H424" s="6" t="s">
        <v>1816</v>
      </c>
      <c r="I424" s="11">
        <v>58358.07</v>
      </c>
      <c r="J424" t="s">
        <v>170</v>
      </c>
      <c r="K424">
        <v>-2943985297</v>
      </c>
      <c r="L424" t="s">
        <v>41</v>
      </c>
      <c r="M424" t="b">
        <v>1</v>
      </c>
      <c r="N424" s="17">
        <f t="shared" si="6"/>
        <v>44594</v>
      </c>
      <c r="O424" t="str">
        <f>LEFT(Table1[[#This Row],[Department_Region]], FIND("-", Table1[[#This Row],[Department_Region]]) - 1)</f>
        <v>HR</v>
      </c>
      <c r="P424" t="str">
        <f>RIGHT(Table1[[#This Row],[Department_Region]],LEN(Table1[[#This Row],[Department_Region]]) - FIND("-",Table1[[#This Row],[Department_Region]]))</f>
        <v>Texas</v>
      </c>
      <c r="Q4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4" s="15"/>
    </row>
    <row r="425" spans="1:18" x14ac:dyDescent="0.2">
      <c r="A425" s="1">
        <v>423</v>
      </c>
      <c r="B425" s="6" t="s">
        <v>795</v>
      </c>
      <c r="C425" t="s">
        <v>25</v>
      </c>
      <c r="D425" t="s">
        <v>38</v>
      </c>
      <c r="E425">
        <v>30</v>
      </c>
      <c r="F425" t="s">
        <v>90</v>
      </c>
      <c r="G425" t="s">
        <v>16</v>
      </c>
      <c r="H425" s="6" t="s">
        <v>1817</v>
      </c>
      <c r="I425" s="11">
        <v>54824.85</v>
      </c>
      <c r="J425" t="s">
        <v>368</v>
      </c>
      <c r="K425">
        <v>-9406260786</v>
      </c>
      <c r="L425" t="s">
        <v>18</v>
      </c>
      <c r="M425" t="b">
        <v>0</v>
      </c>
      <c r="N425" s="17">
        <f t="shared" si="6"/>
        <v>44652</v>
      </c>
      <c r="O425" t="str">
        <f>LEFT(Table1[[#This Row],[Department_Region]], FIND("-", Table1[[#This Row],[Department_Region]]) - 1)</f>
        <v>Admin</v>
      </c>
      <c r="P425" t="str">
        <f>RIGHT(Table1[[#This Row],[Department_Region]],LEN(Table1[[#This Row],[Department_Region]]) - FIND("-",Table1[[#This Row],[Department_Region]]))</f>
        <v>Illinois</v>
      </c>
      <c r="Q4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5" s="15"/>
    </row>
    <row r="426" spans="1:18" x14ac:dyDescent="0.2">
      <c r="A426" s="1">
        <v>424</v>
      </c>
      <c r="B426" s="6" t="s">
        <v>796</v>
      </c>
      <c r="C426" t="s">
        <v>32</v>
      </c>
      <c r="D426" t="s">
        <v>43</v>
      </c>
      <c r="E426">
        <v>35</v>
      </c>
      <c r="F426" t="s">
        <v>141</v>
      </c>
      <c r="G426" t="s">
        <v>28</v>
      </c>
      <c r="H426" s="6" t="s">
        <v>336</v>
      </c>
      <c r="I426" s="11">
        <v>50557.84</v>
      </c>
      <c r="J426" t="s">
        <v>301</v>
      </c>
      <c r="K426">
        <v>-104159148</v>
      </c>
      <c r="L426" t="s">
        <v>18</v>
      </c>
      <c r="M426" t="b">
        <v>1</v>
      </c>
      <c r="N426" s="17">
        <f t="shared" si="6"/>
        <v>44766</v>
      </c>
      <c r="O426" t="str">
        <f>LEFT(Table1[[#This Row],[Department_Region]], FIND("-", Table1[[#This Row],[Department_Region]]) - 1)</f>
        <v>HR</v>
      </c>
      <c r="P426" t="str">
        <f>RIGHT(Table1[[#This Row],[Department_Region]],LEN(Table1[[#This Row],[Department_Region]]) - FIND("-",Table1[[#This Row],[Department_Region]]))</f>
        <v>Texas</v>
      </c>
      <c r="Q4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6" s="15"/>
    </row>
    <row r="427" spans="1:18" x14ac:dyDescent="0.2">
      <c r="A427" s="1">
        <v>425</v>
      </c>
      <c r="B427" s="6" t="s">
        <v>797</v>
      </c>
      <c r="C427" t="s">
        <v>32</v>
      </c>
      <c r="D427" t="s">
        <v>26</v>
      </c>
      <c r="E427">
        <v>32</v>
      </c>
      <c r="F427" t="s">
        <v>208</v>
      </c>
      <c r="G427" t="s">
        <v>33</v>
      </c>
      <c r="H427" s="6" t="s">
        <v>798</v>
      </c>
      <c r="I427" s="11">
        <v>118030.04</v>
      </c>
      <c r="J427" t="s">
        <v>281</v>
      </c>
      <c r="K427">
        <v>-7501980381</v>
      </c>
      <c r="L427" t="s">
        <v>23</v>
      </c>
      <c r="M427" t="b">
        <v>1</v>
      </c>
      <c r="N427" s="17">
        <f t="shared" si="6"/>
        <v>45042</v>
      </c>
      <c r="O427" t="str">
        <f>LEFT(Table1[[#This Row],[Department_Region]], FIND("-", Table1[[#This Row],[Department_Region]]) - 1)</f>
        <v>Admin</v>
      </c>
      <c r="P427" t="str">
        <f>RIGHT(Table1[[#This Row],[Department_Region]],LEN(Table1[[#This Row],[Department_Region]]) - FIND("-",Table1[[#This Row],[Department_Region]]))</f>
        <v>Florida</v>
      </c>
      <c r="Q4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27" s="15"/>
    </row>
    <row r="428" spans="1:18" x14ac:dyDescent="0.2">
      <c r="A428" s="1">
        <v>426</v>
      </c>
      <c r="B428" s="6" t="s">
        <v>799</v>
      </c>
      <c r="C428" t="s">
        <v>59</v>
      </c>
      <c r="D428" t="s">
        <v>124</v>
      </c>
      <c r="E428">
        <v>32</v>
      </c>
      <c r="F428" t="s">
        <v>199</v>
      </c>
      <c r="G428" t="s">
        <v>16</v>
      </c>
      <c r="H428" s="6" t="s">
        <v>800</v>
      </c>
      <c r="I428" s="11">
        <v>51673.72</v>
      </c>
      <c r="J428" t="s">
        <v>346</v>
      </c>
      <c r="K428">
        <v>-8723244078</v>
      </c>
      <c r="L428" t="s">
        <v>41</v>
      </c>
      <c r="M428" t="b">
        <v>0</v>
      </c>
      <c r="N428" s="17">
        <f t="shared" si="6"/>
        <v>44670</v>
      </c>
      <c r="O428" t="str">
        <f>LEFT(Table1[[#This Row],[Department_Region]], FIND("-", Table1[[#This Row],[Department_Region]]) - 1)</f>
        <v>Admin</v>
      </c>
      <c r="P428" t="str">
        <f>RIGHT(Table1[[#This Row],[Department_Region]],LEN(Table1[[#This Row],[Department_Region]]) - FIND("-",Table1[[#This Row],[Department_Region]]))</f>
        <v>New York</v>
      </c>
      <c r="Q4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8" s="15"/>
    </row>
    <row r="429" spans="1:18" x14ac:dyDescent="0.2">
      <c r="A429" s="1">
        <v>427</v>
      </c>
      <c r="B429" s="6" t="s">
        <v>801</v>
      </c>
      <c r="C429" t="s">
        <v>25</v>
      </c>
      <c r="D429" t="s">
        <v>20</v>
      </c>
      <c r="E429">
        <v>35</v>
      </c>
      <c r="F429" t="s">
        <v>86</v>
      </c>
      <c r="G429" t="s">
        <v>33</v>
      </c>
      <c r="H429" s="6" t="s">
        <v>1818</v>
      </c>
      <c r="I429" s="11">
        <v>101665.79</v>
      </c>
      <c r="J429" t="s">
        <v>81</v>
      </c>
      <c r="K429">
        <v>-3110291812</v>
      </c>
      <c r="L429" t="s">
        <v>41</v>
      </c>
      <c r="M429" t="b">
        <v>1</v>
      </c>
      <c r="N429" s="17">
        <f t="shared" si="6"/>
        <v>45569</v>
      </c>
      <c r="O429" t="str">
        <f>LEFT(Table1[[#This Row],[Department_Region]], FIND("-", Table1[[#This Row],[Department_Region]]) - 1)</f>
        <v>Cloud Tech</v>
      </c>
      <c r="P429" t="str">
        <f>RIGHT(Table1[[#This Row],[Department_Region]],LEN(Table1[[#This Row],[Department_Region]]) - FIND("-",Table1[[#This Row],[Department_Region]]))</f>
        <v>Nevada</v>
      </c>
      <c r="Q4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29" s="15"/>
    </row>
    <row r="430" spans="1:18" x14ac:dyDescent="0.2">
      <c r="A430" s="1">
        <v>428</v>
      </c>
      <c r="B430" s="6" t="s">
        <v>802</v>
      </c>
      <c r="C430" t="s">
        <v>59</v>
      </c>
      <c r="D430" t="s">
        <v>124</v>
      </c>
      <c r="E430">
        <v>32</v>
      </c>
      <c r="F430" t="s">
        <v>208</v>
      </c>
      <c r="G430" t="s">
        <v>33</v>
      </c>
      <c r="H430" s="6" t="s">
        <v>1819</v>
      </c>
      <c r="I430" s="11">
        <v>118079.15</v>
      </c>
      <c r="J430" t="s">
        <v>346</v>
      </c>
      <c r="K430">
        <v>-3170876013</v>
      </c>
      <c r="L430" t="s">
        <v>30</v>
      </c>
      <c r="M430" t="b">
        <v>1</v>
      </c>
      <c r="N430" s="17">
        <f t="shared" si="6"/>
        <v>43953</v>
      </c>
      <c r="O430" t="str">
        <f>LEFT(Table1[[#This Row],[Department_Region]], FIND("-", Table1[[#This Row],[Department_Region]]) - 1)</f>
        <v>Admin</v>
      </c>
      <c r="P430" t="str">
        <f>RIGHT(Table1[[#This Row],[Department_Region]],LEN(Table1[[#This Row],[Department_Region]]) - FIND("-",Table1[[#This Row],[Department_Region]]))</f>
        <v>Florida</v>
      </c>
      <c r="Q4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30" s="15"/>
    </row>
    <row r="431" spans="1:18" x14ac:dyDescent="0.2">
      <c r="A431" s="1">
        <v>429</v>
      </c>
      <c r="B431" s="6" t="s">
        <v>803</v>
      </c>
      <c r="C431" t="s">
        <v>32</v>
      </c>
      <c r="D431" t="s">
        <v>20</v>
      </c>
      <c r="E431">
        <v>25</v>
      </c>
      <c r="F431" t="s">
        <v>60</v>
      </c>
      <c r="G431" t="s">
        <v>28</v>
      </c>
      <c r="H431" s="6" t="s">
        <v>564</v>
      </c>
      <c r="I431" s="11">
        <v>99059.28</v>
      </c>
      <c r="J431" t="s">
        <v>157</v>
      </c>
      <c r="K431">
        <v>-6723849790</v>
      </c>
      <c r="L431" t="s">
        <v>41</v>
      </c>
      <c r="M431" t="b">
        <v>0</v>
      </c>
      <c r="N431" s="17">
        <f t="shared" si="6"/>
        <v>44676</v>
      </c>
      <c r="O431" t="str">
        <f>LEFT(Table1[[#This Row],[Department_Region]], FIND("-", Table1[[#This Row],[Department_Region]]) - 1)</f>
        <v>Cloud Tech</v>
      </c>
      <c r="P431" t="str">
        <f>RIGHT(Table1[[#This Row],[Department_Region]],LEN(Table1[[#This Row],[Department_Region]]) - FIND("-",Table1[[#This Row],[Department_Region]]))</f>
        <v>New York</v>
      </c>
      <c r="Q4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31" s="15"/>
    </row>
    <row r="432" spans="1:18" x14ac:dyDescent="0.2">
      <c r="A432" s="1">
        <v>430</v>
      </c>
      <c r="B432" s="6" t="s">
        <v>804</v>
      </c>
      <c r="C432" t="s">
        <v>13</v>
      </c>
      <c r="D432" t="s">
        <v>124</v>
      </c>
      <c r="E432">
        <v>32</v>
      </c>
      <c r="F432" t="s">
        <v>96</v>
      </c>
      <c r="G432" t="s">
        <v>16</v>
      </c>
      <c r="H432" s="6" t="s">
        <v>805</v>
      </c>
      <c r="I432" s="11">
        <v>107397.4</v>
      </c>
      <c r="J432" t="s">
        <v>125</v>
      </c>
      <c r="K432">
        <v>-6202232882</v>
      </c>
      <c r="L432" t="s">
        <v>41</v>
      </c>
      <c r="M432" t="b">
        <v>0</v>
      </c>
      <c r="N432" s="17">
        <f t="shared" si="6"/>
        <v>45136</v>
      </c>
      <c r="O432" t="str">
        <f>LEFT(Table1[[#This Row],[Department_Region]], FIND("-", Table1[[#This Row],[Department_Region]]) - 1)</f>
        <v>Cloud Tech</v>
      </c>
      <c r="P432" t="str">
        <f>RIGHT(Table1[[#This Row],[Department_Region]],LEN(Table1[[#This Row],[Department_Region]]) - FIND("-",Table1[[#This Row],[Department_Region]]))</f>
        <v>Illinois</v>
      </c>
      <c r="Q4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32" s="15"/>
    </row>
    <row r="433" spans="1:18" x14ac:dyDescent="0.2">
      <c r="A433" s="1">
        <v>431</v>
      </c>
      <c r="B433" s="6" t="s">
        <v>806</v>
      </c>
      <c r="C433" t="s">
        <v>25</v>
      </c>
      <c r="D433" t="s">
        <v>93</v>
      </c>
      <c r="E433">
        <v>40</v>
      </c>
      <c r="F433" t="s">
        <v>56</v>
      </c>
      <c r="G433" t="s">
        <v>16</v>
      </c>
      <c r="H433" s="6" t="s">
        <v>807</v>
      </c>
      <c r="I433" s="11">
        <v>68269.37</v>
      </c>
      <c r="J433" t="s">
        <v>168</v>
      </c>
      <c r="K433">
        <v>-7744197545</v>
      </c>
      <c r="L433" t="s">
        <v>23</v>
      </c>
      <c r="M433" t="b">
        <v>0</v>
      </c>
      <c r="N433" s="17">
        <f t="shared" si="6"/>
        <v>44428</v>
      </c>
      <c r="O433" t="str">
        <f>LEFT(Table1[[#This Row],[Department_Region]], FIND("-", Table1[[#This Row],[Department_Region]]) - 1)</f>
        <v>DevOps</v>
      </c>
      <c r="P433" t="str">
        <f>RIGHT(Table1[[#This Row],[Department_Region]],LEN(Table1[[#This Row],[Department_Region]]) - FIND("-",Table1[[#This Row],[Department_Region]]))</f>
        <v>New York</v>
      </c>
      <c r="Q4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33" s="15"/>
    </row>
    <row r="434" spans="1:18" x14ac:dyDescent="0.2">
      <c r="A434" s="1">
        <v>432</v>
      </c>
      <c r="B434" s="6" t="s">
        <v>808</v>
      </c>
      <c r="C434" t="s">
        <v>69</v>
      </c>
      <c r="D434" t="s">
        <v>26</v>
      </c>
      <c r="E434">
        <v>35</v>
      </c>
      <c r="F434" t="s">
        <v>215</v>
      </c>
      <c r="G434" t="s">
        <v>33</v>
      </c>
      <c r="H434" s="6" t="s">
        <v>809</v>
      </c>
      <c r="I434" s="11">
        <v>55228.12</v>
      </c>
      <c r="J434" t="s">
        <v>77</v>
      </c>
      <c r="K434">
        <v>-6176620470</v>
      </c>
      <c r="L434" t="s">
        <v>41</v>
      </c>
      <c r="M434" t="b">
        <v>1</v>
      </c>
      <c r="N434" s="17">
        <f t="shared" si="6"/>
        <v>44309</v>
      </c>
      <c r="O434" t="str">
        <f>LEFT(Table1[[#This Row],[Department_Region]], FIND("-", Table1[[#This Row],[Department_Region]]) - 1)</f>
        <v>HR</v>
      </c>
      <c r="P434" t="str">
        <f>RIGHT(Table1[[#This Row],[Department_Region]],LEN(Table1[[#This Row],[Department_Region]]) - FIND("-",Table1[[#This Row],[Department_Region]]))</f>
        <v>Florida</v>
      </c>
      <c r="Q4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34" s="15"/>
    </row>
    <row r="435" spans="1:18" x14ac:dyDescent="0.2">
      <c r="A435" s="1">
        <v>433</v>
      </c>
      <c r="B435" s="6" t="s">
        <v>810</v>
      </c>
      <c r="C435" t="s">
        <v>13</v>
      </c>
      <c r="D435" t="s">
        <v>43</v>
      </c>
      <c r="E435">
        <v>30</v>
      </c>
      <c r="F435" t="s">
        <v>60</v>
      </c>
      <c r="G435" t="s">
        <v>33</v>
      </c>
      <c r="H435" s="6" t="s">
        <v>1820</v>
      </c>
      <c r="I435" s="11">
        <v>71982.33</v>
      </c>
      <c r="J435" t="s">
        <v>155</v>
      </c>
      <c r="K435">
        <v>-9609409704</v>
      </c>
      <c r="L435" t="s">
        <v>18</v>
      </c>
      <c r="M435" t="b">
        <v>0</v>
      </c>
      <c r="N435" s="17">
        <f t="shared" si="6"/>
        <v>44785</v>
      </c>
      <c r="O435" t="str">
        <f>LEFT(Table1[[#This Row],[Department_Region]], FIND("-", Table1[[#This Row],[Department_Region]]) - 1)</f>
        <v>Cloud Tech</v>
      </c>
      <c r="P435" t="str">
        <f>RIGHT(Table1[[#This Row],[Department_Region]],LEN(Table1[[#This Row],[Department_Region]]) - FIND("-",Table1[[#This Row],[Department_Region]]))</f>
        <v>New York</v>
      </c>
      <c r="Q4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35" s="15"/>
    </row>
    <row r="436" spans="1:18" x14ac:dyDescent="0.2">
      <c r="A436" s="1">
        <v>434</v>
      </c>
      <c r="B436" s="6" t="s">
        <v>811</v>
      </c>
      <c r="C436" t="s">
        <v>37</v>
      </c>
      <c r="D436" t="s">
        <v>20</v>
      </c>
      <c r="E436">
        <v>30</v>
      </c>
      <c r="F436" t="s">
        <v>70</v>
      </c>
      <c r="G436" t="s">
        <v>33</v>
      </c>
      <c r="H436" s="6" t="s">
        <v>812</v>
      </c>
      <c r="I436" s="11">
        <v>109673.75</v>
      </c>
      <c r="J436" t="s">
        <v>243</v>
      </c>
      <c r="K436">
        <v>-2774025882</v>
      </c>
      <c r="L436" t="s">
        <v>23</v>
      </c>
      <c r="M436" t="b">
        <v>0</v>
      </c>
      <c r="N436" s="17">
        <f t="shared" si="6"/>
        <v>44373</v>
      </c>
      <c r="O436" t="str">
        <f>LEFT(Table1[[#This Row],[Department_Region]], FIND("-", Table1[[#This Row],[Department_Region]]) - 1)</f>
        <v>Finance</v>
      </c>
      <c r="P436" t="str">
        <f>RIGHT(Table1[[#This Row],[Department_Region]],LEN(Table1[[#This Row],[Department_Region]]) - FIND("-",Table1[[#This Row],[Department_Region]]))</f>
        <v>California</v>
      </c>
      <c r="Q4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36" s="15"/>
    </row>
    <row r="437" spans="1:18" x14ac:dyDescent="0.2">
      <c r="A437" s="1">
        <v>435</v>
      </c>
      <c r="B437" s="6" t="s">
        <v>813</v>
      </c>
      <c r="C437" t="s">
        <v>32</v>
      </c>
      <c r="D437" t="s">
        <v>43</v>
      </c>
      <c r="E437">
        <v>32</v>
      </c>
      <c r="F437" t="s">
        <v>60</v>
      </c>
      <c r="G437" t="s">
        <v>33</v>
      </c>
      <c r="H437" s="6" t="s">
        <v>814</v>
      </c>
      <c r="I437" s="11">
        <v>56384.9</v>
      </c>
      <c r="J437" t="s">
        <v>301</v>
      </c>
      <c r="K437">
        <v>-5868122594</v>
      </c>
      <c r="L437" t="s">
        <v>23</v>
      </c>
      <c r="M437" t="b">
        <v>1</v>
      </c>
      <c r="N437" s="17">
        <f t="shared" si="6"/>
        <v>44134</v>
      </c>
      <c r="O437" t="str">
        <f>LEFT(Table1[[#This Row],[Department_Region]], FIND("-", Table1[[#This Row],[Department_Region]]) - 1)</f>
        <v>Cloud Tech</v>
      </c>
      <c r="P437" t="str">
        <f>RIGHT(Table1[[#This Row],[Department_Region]],LEN(Table1[[#This Row],[Department_Region]]) - FIND("-",Table1[[#This Row],[Department_Region]]))</f>
        <v>New York</v>
      </c>
      <c r="Q4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37" s="15"/>
    </row>
    <row r="438" spans="1:18" x14ac:dyDescent="0.2">
      <c r="A438" s="1">
        <v>436</v>
      </c>
      <c r="B438" s="6" t="s">
        <v>815</v>
      </c>
      <c r="C438" t="s">
        <v>37</v>
      </c>
      <c r="D438" t="s">
        <v>43</v>
      </c>
      <c r="E438">
        <v>40</v>
      </c>
      <c r="F438" t="s">
        <v>44</v>
      </c>
      <c r="G438" t="s">
        <v>28</v>
      </c>
      <c r="H438" s="6" t="s">
        <v>1725</v>
      </c>
      <c r="I438" s="11">
        <v>68211.679999999993</v>
      </c>
      <c r="J438" t="s">
        <v>183</v>
      </c>
      <c r="K438">
        <v>-7244617678</v>
      </c>
      <c r="L438" t="s">
        <v>30</v>
      </c>
      <c r="M438" t="b">
        <v>0</v>
      </c>
      <c r="N438" s="17">
        <f t="shared" si="6"/>
        <v>44443</v>
      </c>
      <c r="O438" t="str">
        <f>LEFT(Table1[[#This Row],[Department_Region]], FIND("-", Table1[[#This Row],[Department_Region]]) - 1)</f>
        <v>Sales</v>
      </c>
      <c r="P438" t="str">
        <f>RIGHT(Table1[[#This Row],[Department_Region]],LEN(Table1[[#This Row],[Department_Region]]) - FIND("-",Table1[[#This Row],[Department_Region]]))</f>
        <v>Texas</v>
      </c>
      <c r="Q4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38" s="15"/>
    </row>
    <row r="439" spans="1:18" x14ac:dyDescent="0.2">
      <c r="A439" s="1">
        <v>437</v>
      </c>
      <c r="B439" s="6" t="s">
        <v>816</v>
      </c>
      <c r="C439" t="s">
        <v>25</v>
      </c>
      <c r="D439" t="s">
        <v>43</v>
      </c>
      <c r="E439">
        <v>40</v>
      </c>
      <c r="F439" t="s">
        <v>269</v>
      </c>
      <c r="G439" t="s">
        <v>28</v>
      </c>
      <c r="H439" s="6" t="s">
        <v>817</v>
      </c>
      <c r="I439" s="11">
        <v>67489.679999999993</v>
      </c>
      <c r="J439" t="s">
        <v>45</v>
      </c>
      <c r="K439">
        <v>-2988425994</v>
      </c>
      <c r="L439" t="s">
        <v>41</v>
      </c>
      <c r="M439" t="b">
        <v>0</v>
      </c>
      <c r="N439" s="17">
        <f t="shared" si="6"/>
        <v>44957</v>
      </c>
      <c r="O439" t="str">
        <f>LEFT(Table1[[#This Row],[Department_Region]], FIND("-", Table1[[#This Row],[Department_Region]]) - 1)</f>
        <v>Finance</v>
      </c>
      <c r="P439" t="str">
        <f>RIGHT(Table1[[#This Row],[Department_Region]],LEN(Table1[[#This Row],[Department_Region]]) - FIND("-",Table1[[#This Row],[Department_Region]]))</f>
        <v>Illinois</v>
      </c>
      <c r="Q4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39" s="15"/>
    </row>
    <row r="440" spans="1:18" x14ac:dyDescent="0.2">
      <c r="A440" s="1">
        <v>438</v>
      </c>
      <c r="B440" s="6" t="s">
        <v>818</v>
      </c>
      <c r="C440" t="s">
        <v>54</v>
      </c>
      <c r="D440" t="s">
        <v>14</v>
      </c>
      <c r="E440">
        <v>25</v>
      </c>
      <c r="F440" t="s">
        <v>161</v>
      </c>
      <c r="G440" t="s">
        <v>16</v>
      </c>
      <c r="H440" s="6" t="s">
        <v>819</v>
      </c>
      <c r="I440" s="11">
        <v>63869.31</v>
      </c>
      <c r="J440" t="s">
        <v>173</v>
      </c>
      <c r="K440">
        <v>-9961002310</v>
      </c>
      <c r="L440" t="s">
        <v>30</v>
      </c>
      <c r="M440" t="b">
        <v>0</v>
      </c>
      <c r="N440" s="17">
        <f t="shared" si="6"/>
        <v>44098</v>
      </c>
      <c r="O440" t="str">
        <f>LEFT(Table1[[#This Row],[Department_Region]], FIND("-", Table1[[#This Row],[Department_Region]]) - 1)</f>
        <v>Cloud Tech</v>
      </c>
      <c r="P440" t="str">
        <f>RIGHT(Table1[[#This Row],[Department_Region]],LEN(Table1[[#This Row],[Department_Region]]) - FIND("-",Table1[[#This Row],[Department_Region]]))</f>
        <v>Texas</v>
      </c>
      <c r="Q4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40" s="15"/>
    </row>
    <row r="441" spans="1:18" x14ac:dyDescent="0.2">
      <c r="A441" s="1">
        <v>439</v>
      </c>
      <c r="B441" s="6" t="s">
        <v>820</v>
      </c>
      <c r="C441" t="s">
        <v>13</v>
      </c>
      <c r="D441" t="s">
        <v>38</v>
      </c>
      <c r="E441">
        <v>32</v>
      </c>
      <c r="F441" t="s">
        <v>180</v>
      </c>
      <c r="G441" t="s">
        <v>16</v>
      </c>
      <c r="H441" s="6" t="s">
        <v>352</v>
      </c>
      <c r="I441" s="11">
        <v>119801.3</v>
      </c>
      <c r="J441" t="s">
        <v>146</v>
      </c>
      <c r="K441">
        <v>-7753312660</v>
      </c>
      <c r="L441" t="s">
        <v>18</v>
      </c>
      <c r="M441" t="b">
        <v>1</v>
      </c>
      <c r="N441" s="17">
        <f t="shared" si="6"/>
        <v>43875</v>
      </c>
      <c r="O441" t="str">
        <f>LEFT(Table1[[#This Row],[Department_Region]], FIND("-", Table1[[#This Row],[Department_Region]]) - 1)</f>
        <v>Sales</v>
      </c>
      <c r="P441" t="str">
        <f>RIGHT(Table1[[#This Row],[Department_Region]],LEN(Table1[[#This Row],[Department_Region]]) - FIND("-",Table1[[#This Row],[Department_Region]]))</f>
        <v>California</v>
      </c>
      <c r="Q4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41" s="15"/>
    </row>
    <row r="442" spans="1:18" x14ac:dyDescent="0.2">
      <c r="A442" s="1">
        <v>440</v>
      </c>
      <c r="B442" s="6" t="s">
        <v>821</v>
      </c>
      <c r="C442" t="s">
        <v>65</v>
      </c>
      <c r="D442" t="s">
        <v>124</v>
      </c>
      <c r="E442">
        <v>30</v>
      </c>
      <c r="F442" t="s">
        <v>272</v>
      </c>
      <c r="G442" t="s">
        <v>16</v>
      </c>
      <c r="H442" s="6" t="s">
        <v>822</v>
      </c>
      <c r="I442" s="11">
        <v>115959.65</v>
      </c>
      <c r="J442" t="s">
        <v>372</v>
      </c>
      <c r="K442">
        <v>-941017589</v>
      </c>
      <c r="L442" t="s">
        <v>23</v>
      </c>
      <c r="M442" t="b">
        <v>1</v>
      </c>
      <c r="N442" s="17">
        <f t="shared" si="6"/>
        <v>43918</v>
      </c>
      <c r="O442" t="str">
        <f>LEFT(Table1[[#This Row],[Department_Region]], FIND("-", Table1[[#This Row],[Department_Region]]) - 1)</f>
        <v>Cloud Tech</v>
      </c>
      <c r="P442" t="str">
        <f>RIGHT(Table1[[#This Row],[Department_Region]],LEN(Table1[[#This Row],[Department_Region]]) - FIND("-",Table1[[#This Row],[Department_Region]]))</f>
        <v>California</v>
      </c>
      <c r="Q4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42" s="15"/>
    </row>
    <row r="443" spans="1:18" x14ac:dyDescent="0.2">
      <c r="A443" s="1">
        <v>441</v>
      </c>
      <c r="B443" s="6" t="s">
        <v>823</v>
      </c>
      <c r="C443" t="s">
        <v>69</v>
      </c>
      <c r="D443" t="s">
        <v>43</v>
      </c>
      <c r="E443">
        <v>40</v>
      </c>
      <c r="F443" t="s">
        <v>21</v>
      </c>
      <c r="G443" t="s">
        <v>33</v>
      </c>
      <c r="H443" s="6" t="s">
        <v>824</v>
      </c>
      <c r="I443" s="11">
        <v>79866.48</v>
      </c>
      <c r="J443" t="s">
        <v>84</v>
      </c>
      <c r="K443">
        <v>-2517629832</v>
      </c>
      <c r="L443" t="s">
        <v>23</v>
      </c>
      <c r="M443" t="b">
        <v>1</v>
      </c>
      <c r="N443" s="17">
        <f t="shared" si="6"/>
        <v>45230</v>
      </c>
      <c r="O443" t="str">
        <f>LEFT(Table1[[#This Row],[Department_Region]], FIND("-", Table1[[#This Row],[Department_Region]]) - 1)</f>
        <v>Finance</v>
      </c>
      <c r="P443" t="str">
        <f>RIGHT(Table1[[#This Row],[Department_Region]],LEN(Table1[[#This Row],[Department_Region]]) - FIND("-",Table1[[#This Row],[Department_Region]]))</f>
        <v>Texas</v>
      </c>
      <c r="Q4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43" s="15"/>
    </row>
    <row r="444" spans="1:18" x14ac:dyDescent="0.2">
      <c r="A444" s="1">
        <v>442</v>
      </c>
      <c r="B444" s="6" t="s">
        <v>825</v>
      </c>
      <c r="C444" t="s">
        <v>54</v>
      </c>
      <c r="D444" t="s">
        <v>124</v>
      </c>
      <c r="E444">
        <v>35</v>
      </c>
      <c r="F444" t="s">
        <v>215</v>
      </c>
      <c r="G444" t="s">
        <v>16</v>
      </c>
      <c r="H444" s="6" t="s">
        <v>1821</v>
      </c>
      <c r="I444" s="11">
        <v>92987.46</v>
      </c>
      <c r="J444" t="s">
        <v>197</v>
      </c>
      <c r="K444">
        <v>-4774332682</v>
      </c>
      <c r="L444" t="s">
        <v>23</v>
      </c>
      <c r="M444" t="b">
        <v>1</v>
      </c>
      <c r="N444" s="17">
        <f t="shared" si="6"/>
        <v>43901</v>
      </c>
      <c r="O444" t="str">
        <f>LEFT(Table1[[#This Row],[Department_Region]], FIND("-", Table1[[#This Row],[Department_Region]]) - 1)</f>
        <v>HR</v>
      </c>
      <c r="P444" t="str">
        <f>RIGHT(Table1[[#This Row],[Department_Region]],LEN(Table1[[#This Row],[Department_Region]]) - FIND("-",Table1[[#This Row],[Department_Region]]))</f>
        <v>Florida</v>
      </c>
      <c r="Q4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44" s="15"/>
    </row>
    <row r="445" spans="1:18" x14ac:dyDescent="0.2">
      <c r="A445" s="1">
        <v>443</v>
      </c>
      <c r="B445" s="6" t="s">
        <v>826</v>
      </c>
      <c r="C445" t="s">
        <v>32</v>
      </c>
      <c r="D445" t="s">
        <v>43</v>
      </c>
      <c r="E445">
        <v>40</v>
      </c>
      <c r="F445" t="s">
        <v>269</v>
      </c>
      <c r="G445" t="s">
        <v>33</v>
      </c>
      <c r="H445" s="6" t="s">
        <v>1822</v>
      </c>
      <c r="I445" s="11">
        <v>56140.51</v>
      </c>
      <c r="J445" t="s">
        <v>301</v>
      </c>
      <c r="K445">
        <v>-1901302055</v>
      </c>
      <c r="L445" t="s">
        <v>18</v>
      </c>
      <c r="M445" t="b">
        <v>0</v>
      </c>
      <c r="N445" s="17">
        <f t="shared" si="6"/>
        <v>43955</v>
      </c>
      <c r="O445" t="str">
        <f>LEFT(Table1[[#This Row],[Department_Region]], FIND("-", Table1[[#This Row],[Department_Region]]) - 1)</f>
        <v>Finance</v>
      </c>
      <c r="P445" t="str">
        <f>RIGHT(Table1[[#This Row],[Department_Region]],LEN(Table1[[#This Row],[Department_Region]]) - FIND("-",Table1[[#This Row],[Department_Region]]))</f>
        <v>Illinois</v>
      </c>
      <c r="Q4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45" s="15"/>
    </row>
    <row r="446" spans="1:18" x14ac:dyDescent="0.2">
      <c r="A446" s="1">
        <v>444</v>
      </c>
      <c r="B446" s="6" t="s">
        <v>827</v>
      </c>
      <c r="C446" t="s">
        <v>69</v>
      </c>
      <c r="D446" t="s">
        <v>20</v>
      </c>
      <c r="E446">
        <v>30</v>
      </c>
      <c r="F446" t="s">
        <v>79</v>
      </c>
      <c r="G446" t="s">
        <v>16</v>
      </c>
      <c r="H446" s="6" t="s">
        <v>828</v>
      </c>
      <c r="I446" s="11">
        <v>119586.11</v>
      </c>
      <c r="J446" t="s">
        <v>204</v>
      </c>
      <c r="K446">
        <v>-9815287338</v>
      </c>
      <c r="L446" t="s">
        <v>18</v>
      </c>
      <c r="M446" t="b">
        <v>1</v>
      </c>
      <c r="N446" s="17">
        <f t="shared" si="6"/>
        <v>45122</v>
      </c>
      <c r="O446" t="str">
        <f>LEFT(Table1[[#This Row],[Department_Region]], FIND("-", Table1[[#This Row],[Department_Region]]) - 1)</f>
        <v>DevOps</v>
      </c>
      <c r="P446" t="str">
        <f>RIGHT(Table1[[#This Row],[Department_Region]],LEN(Table1[[#This Row],[Department_Region]]) - FIND("-",Table1[[#This Row],[Department_Region]]))</f>
        <v>Illinois</v>
      </c>
      <c r="Q4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46" s="15"/>
    </row>
    <row r="447" spans="1:18" x14ac:dyDescent="0.2">
      <c r="A447" s="1">
        <v>445</v>
      </c>
      <c r="B447" s="6" t="s">
        <v>829</v>
      </c>
      <c r="C447" t="s">
        <v>25</v>
      </c>
      <c r="D447" t="s">
        <v>38</v>
      </c>
      <c r="E447">
        <v>40</v>
      </c>
      <c r="F447" t="s">
        <v>15</v>
      </c>
      <c r="G447" t="s">
        <v>33</v>
      </c>
      <c r="H447" s="6" t="s">
        <v>378</v>
      </c>
      <c r="I447" s="11">
        <v>104700.46</v>
      </c>
      <c r="J447" t="s">
        <v>368</v>
      </c>
      <c r="K447">
        <v>-7855982175</v>
      </c>
      <c r="L447" t="s">
        <v>30</v>
      </c>
      <c r="M447" t="b">
        <v>1</v>
      </c>
      <c r="N447" s="17">
        <f t="shared" si="6"/>
        <v>44946</v>
      </c>
      <c r="O447" t="str">
        <f>LEFT(Table1[[#This Row],[Department_Region]], FIND("-", Table1[[#This Row],[Department_Region]]) - 1)</f>
        <v>DevOps</v>
      </c>
      <c r="P447" t="str">
        <f>RIGHT(Table1[[#This Row],[Department_Region]],LEN(Table1[[#This Row],[Department_Region]]) - FIND("-",Table1[[#This Row],[Department_Region]]))</f>
        <v>California</v>
      </c>
      <c r="Q4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47" s="15"/>
    </row>
    <row r="448" spans="1:18" x14ac:dyDescent="0.2">
      <c r="A448" s="1">
        <v>446</v>
      </c>
      <c r="B448" s="6" t="s">
        <v>830</v>
      </c>
      <c r="C448" t="s">
        <v>37</v>
      </c>
      <c r="D448" t="s">
        <v>38</v>
      </c>
      <c r="E448">
        <v>40</v>
      </c>
      <c r="F448" t="s">
        <v>66</v>
      </c>
      <c r="G448" t="s">
        <v>16</v>
      </c>
      <c r="H448" s="6" t="s">
        <v>692</v>
      </c>
      <c r="I448" s="11">
        <v>91798.14</v>
      </c>
      <c r="J448" t="s">
        <v>40</v>
      </c>
      <c r="K448">
        <v>-6191284116</v>
      </c>
      <c r="L448" t="s">
        <v>30</v>
      </c>
      <c r="M448" t="b">
        <v>0</v>
      </c>
      <c r="N448" s="17">
        <f t="shared" si="6"/>
        <v>44484</v>
      </c>
      <c r="O448" t="str">
        <f>LEFT(Table1[[#This Row],[Department_Region]], FIND("-", Table1[[#This Row],[Department_Region]]) - 1)</f>
        <v>HR</v>
      </c>
      <c r="P448" t="str">
        <f>RIGHT(Table1[[#This Row],[Department_Region]],LEN(Table1[[#This Row],[Department_Region]]) - FIND("-",Table1[[#This Row],[Department_Region]]))</f>
        <v>New York</v>
      </c>
      <c r="Q4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48" s="15"/>
    </row>
    <row r="449" spans="1:18" x14ac:dyDescent="0.2">
      <c r="A449" s="1">
        <v>447</v>
      </c>
      <c r="B449" s="6" t="s">
        <v>831</v>
      </c>
      <c r="C449" t="s">
        <v>32</v>
      </c>
      <c r="D449" t="s">
        <v>93</v>
      </c>
      <c r="E449">
        <v>25</v>
      </c>
      <c r="F449" t="s">
        <v>269</v>
      </c>
      <c r="G449" t="s">
        <v>33</v>
      </c>
      <c r="H449" s="6" t="s">
        <v>832</v>
      </c>
      <c r="I449" s="11">
        <v>90879.22</v>
      </c>
      <c r="J449" t="s">
        <v>267</v>
      </c>
      <c r="K449">
        <v>-3098503445</v>
      </c>
      <c r="L449" t="s">
        <v>30</v>
      </c>
      <c r="M449" t="b">
        <v>0</v>
      </c>
      <c r="N449" s="17">
        <f t="shared" si="6"/>
        <v>45401</v>
      </c>
      <c r="O449" t="str">
        <f>LEFT(Table1[[#This Row],[Department_Region]], FIND("-", Table1[[#This Row],[Department_Region]]) - 1)</f>
        <v>Finance</v>
      </c>
      <c r="P449" t="str">
        <f>RIGHT(Table1[[#This Row],[Department_Region]],LEN(Table1[[#This Row],[Department_Region]]) - FIND("-",Table1[[#This Row],[Department_Region]]))</f>
        <v>Illinois</v>
      </c>
      <c r="Q4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49" s="15"/>
    </row>
    <row r="450" spans="1:18" x14ac:dyDescent="0.2">
      <c r="A450" s="1">
        <v>448</v>
      </c>
      <c r="B450" s="6" t="s">
        <v>833</v>
      </c>
      <c r="C450" t="s">
        <v>54</v>
      </c>
      <c r="D450" t="s">
        <v>14</v>
      </c>
      <c r="E450">
        <v>25</v>
      </c>
      <c r="F450" t="s">
        <v>27</v>
      </c>
      <c r="G450" t="s">
        <v>16</v>
      </c>
      <c r="H450" s="6" t="s">
        <v>834</v>
      </c>
      <c r="I450" s="11">
        <v>87358.27</v>
      </c>
      <c r="J450" t="s">
        <v>173</v>
      </c>
      <c r="K450">
        <v>-5124189388</v>
      </c>
      <c r="L450" t="s">
        <v>41</v>
      </c>
      <c r="M450" t="b">
        <v>0</v>
      </c>
      <c r="N450" s="17">
        <f t="shared" ref="N450:N513" si="7">IF(ISNUMBER(H450), H450, DATE(RIGHT(H450, 4), LEFT(H450, FIND("/", H450) - 1), MID(H450, FIND("/", H450) + 1, FIND("/", H450, FIND("/", H450) + 1) - FIND("/", H450) - 1)))</f>
        <v>44376</v>
      </c>
      <c r="O450" t="str">
        <f>LEFT(Table1[[#This Row],[Department_Region]], FIND("-", Table1[[#This Row],[Department_Region]]) - 1)</f>
        <v>Admin</v>
      </c>
      <c r="P450" t="str">
        <f>RIGHT(Table1[[#This Row],[Department_Region]],LEN(Table1[[#This Row],[Department_Region]]) - FIND("-",Table1[[#This Row],[Department_Region]]))</f>
        <v>Nevada</v>
      </c>
      <c r="Q4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0" s="15"/>
    </row>
    <row r="451" spans="1:18" x14ac:dyDescent="0.2">
      <c r="A451" s="1">
        <v>449</v>
      </c>
      <c r="B451" s="6" t="s">
        <v>835</v>
      </c>
      <c r="C451" t="s">
        <v>25</v>
      </c>
      <c r="D451" t="s">
        <v>93</v>
      </c>
      <c r="E451">
        <v>30</v>
      </c>
      <c r="F451" t="s">
        <v>75</v>
      </c>
      <c r="G451" t="s">
        <v>33</v>
      </c>
      <c r="H451" s="6" t="s">
        <v>836</v>
      </c>
      <c r="I451" s="11">
        <v>119407.93</v>
      </c>
      <c r="J451" t="s">
        <v>168</v>
      </c>
      <c r="K451">
        <v>-8469081973</v>
      </c>
      <c r="L451" t="s">
        <v>23</v>
      </c>
      <c r="M451" t="b">
        <v>1</v>
      </c>
      <c r="N451" s="17">
        <f t="shared" si="7"/>
        <v>45549</v>
      </c>
      <c r="O451" t="str">
        <f>LEFT(Table1[[#This Row],[Department_Region]], FIND("-", Table1[[#This Row],[Department_Region]]) - 1)</f>
        <v>Sales</v>
      </c>
      <c r="P451" t="str">
        <f>RIGHT(Table1[[#This Row],[Department_Region]],LEN(Table1[[#This Row],[Department_Region]]) - FIND("-",Table1[[#This Row],[Department_Region]]))</f>
        <v>Florida</v>
      </c>
      <c r="Q4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1" s="15"/>
    </row>
    <row r="452" spans="1:18" x14ac:dyDescent="0.2">
      <c r="A452" s="1">
        <v>450</v>
      </c>
      <c r="B452" s="6" t="s">
        <v>837</v>
      </c>
      <c r="C452" t="s">
        <v>59</v>
      </c>
      <c r="D452" t="s">
        <v>93</v>
      </c>
      <c r="E452">
        <v>32</v>
      </c>
      <c r="F452" t="s">
        <v>151</v>
      </c>
      <c r="G452" t="s">
        <v>28</v>
      </c>
      <c r="H452" s="6" t="s">
        <v>1823</v>
      </c>
      <c r="I452" s="11">
        <v>113978.6</v>
      </c>
      <c r="J452" t="s">
        <v>108</v>
      </c>
      <c r="K452">
        <v>-56435022</v>
      </c>
      <c r="L452" t="s">
        <v>23</v>
      </c>
      <c r="M452" t="b">
        <v>1</v>
      </c>
      <c r="N452" s="17">
        <f t="shared" si="7"/>
        <v>44565</v>
      </c>
      <c r="O452" t="str">
        <f>LEFT(Table1[[#This Row],[Department_Region]], FIND("-", Table1[[#This Row],[Department_Region]]) - 1)</f>
        <v>HR</v>
      </c>
      <c r="P452" t="str">
        <f>RIGHT(Table1[[#This Row],[Department_Region]],LEN(Table1[[#This Row],[Department_Region]]) - FIND("-",Table1[[#This Row],[Department_Region]]))</f>
        <v>Nevada</v>
      </c>
      <c r="Q4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2" s="15"/>
    </row>
    <row r="453" spans="1:18" x14ac:dyDescent="0.2">
      <c r="A453" s="1">
        <v>451</v>
      </c>
      <c r="B453" s="6" t="s">
        <v>838</v>
      </c>
      <c r="C453" t="s">
        <v>37</v>
      </c>
      <c r="D453" t="s">
        <v>93</v>
      </c>
      <c r="E453">
        <v>32</v>
      </c>
      <c r="F453" t="s">
        <v>110</v>
      </c>
      <c r="G453" t="s">
        <v>28</v>
      </c>
      <c r="H453" s="6" t="s">
        <v>839</v>
      </c>
      <c r="I453" s="11">
        <v>108568.78</v>
      </c>
      <c r="J453" t="s">
        <v>111</v>
      </c>
      <c r="K453">
        <v>-8503719904</v>
      </c>
      <c r="L453" t="s">
        <v>30</v>
      </c>
      <c r="M453" t="b">
        <v>1</v>
      </c>
      <c r="N453" s="17">
        <f t="shared" si="7"/>
        <v>44216</v>
      </c>
      <c r="O453" t="str">
        <f>LEFT(Table1[[#This Row],[Department_Region]], FIND("-", Table1[[#This Row],[Department_Region]]) - 1)</f>
        <v>Sales</v>
      </c>
      <c r="P453" t="str">
        <f>RIGHT(Table1[[#This Row],[Department_Region]],LEN(Table1[[#This Row],[Department_Region]]) - FIND("-",Table1[[#This Row],[Department_Region]]))</f>
        <v>New York</v>
      </c>
      <c r="Q4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3" s="15"/>
    </row>
    <row r="454" spans="1:18" x14ac:dyDescent="0.2">
      <c r="A454" s="1">
        <v>452</v>
      </c>
      <c r="B454" s="6" t="s">
        <v>840</v>
      </c>
      <c r="C454" t="s">
        <v>65</v>
      </c>
      <c r="D454" t="s">
        <v>93</v>
      </c>
      <c r="E454">
        <v>32</v>
      </c>
      <c r="F454" t="s">
        <v>66</v>
      </c>
      <c r="G454" t="s">
        <v>33</v>
      </c>
      <c r="H454" s="6" t="s">
        <v>841</v>
      </c>
      <c r="I454" s="11">
        <v>56318.02</v>
      </c>
      <c r="J454" t="s">
        <v>132</v>
      </c>
      <c r="K454">
        <v>-1699187239</v>
      </c>
      <c r="L454" t="s">
        <v>23</v>
      </c>
      <c r="M454" t="b">
        <v>0</v>
      </c>
      <c r="N454" s="17">
        <f t="shared" si="7"/>
        <v>43908</v>
      </c>
      <c r="O454" t="str">
        <f>LEFT(Table1[[#This Row],[Department_Region]], FIND("-", Table1[[#This Row],[Department_Region]]) - 1)</f>
        <v>HR</v>
      </c>
      <c r="P454" t="str">
        <f>RIGHT(Table1[[#This Row],[Department_Region]],LEN(Table1[[#This Row],[Department_Region]]) - FIND("-",Table1[[#This Row],[Department_Region]]))</f>
        <v>New York</v>
      </c>
      <c r="Q4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54" s="15"/>
    </row>
    <row r="455" spans="1:18" x14ac:dyDescent="0.2">
      <c r="A455" s="1">
        <v>453</v>
      </c>
      <c r="B455" s="6" t="s">
        <v>842</v>
      </c>
      <c r="C455" t="s">
        <v>59</v>
      </c>
      <c r="D455" t="s">
        <v>93</v>
      </c>
      <c r="E455">
        <v>25</v>
      </c>
      <c r="F455" t="s">
        <v>75</v>
      </c>
      <c r="G455" t="s">
        <v>16</v>
      </c>
      <c r="H455" s="6" t="s">
        <v>843</v>
      </c>
      <c r="I455" s="11">
        <v>114252.73</v>
      </c>
      <c r="J455" t="s">
        <v>108</v>
      </c>
      <c r="K455">
        <v>-1078356742</v>
      </c>
      <c r="L455" t="s">
        <v>30</v>
      </c>
      <c r="M455" t="b">
        <v>0</v>
      </c>
      <c r="N455" s="17">
        <f t="shared" si="7"/>
        <v>44510</v>
      </c>
      <c r="O455" t="str">
        <f>LEFT(Table1[[#This Row],[Department_Region]], FIND("-", Table1[[#This Row],[Department_Region]]) - 1)</f>
        <v>Sales</v>
      </c>
      <c r="P455" t="str">
        <f>RIGHT(Table1[[#This Row],[Department_Region]],LEN(Table1[[#This Row],[Department_Region]]) - FIND("-",Table1[[#This Row],[Department_Region]]))</f>
        <v>Florida</v>
      </c>
      <c r="Q4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5" s="15"/>
    </row>
    <row r="456" spans="1:18" x14ac:dyDescent="0.2">
      <c r="A456" s="1">
        <v>454</v>
      </c>
      <c r="B456" s="6" t="s">
        <v>844</v>
      </c>
      <c r="C456" t="s">
        <v>54</v>
      </c>
      <c r="D456" t="s">
        <v>26</v>
      </c>
      <c r="E456">
        <v>35</v>
      </c>
      <c r="F456" t="s">
        <v>56</v>
      </c>
      <c r="G456" t="s">
        <v>33</v>
      </c>
      <c r="H456" s="6" t="s">
        <v>1824</v>
      </c>
      <c r="I456" s="11">
        <v>51533.9</v>
      </c>
      <c r="J456" t="s">
        <v>122</v>
      </c>
      <c r="K456">
        <v>-3896086</v>
      </c>
      <c r="L456" t="s">
        <v>41</v>
      </c>
      <c r="M456" t="b">
        <v>1</v>
      </c>
      <c r="N456" s="17">
        <f t="shared" si="7"/>
        <v>43952</v>
      </c>
      <c r="O456" t="str">
        <f>LEFT(Table1[[#This Row],[Department_Region]], FIND("-", Table1[[#This Row],[Department_Region]]) - 1)</f>
        <v>DevOps</v>
      </c>
      <c r="P456" t="str">
        <f>RIGHT(Table1[[#This Row],[Department_Region]],LEN(Table1[[#This Row],[Department_Region]]) - FIND("-",Table1[[#This Row],[Department_Region]]))</f>
        <v>New York</v>
      </c>
      <c r="Q4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56" s="15"/>
    </row>
    <row r="457" spans="1:18" x14ac:dyDescent="0.2">
      <c r="A457" s="1">
        <v>455</v>
      </c>
      <c r="B457" s="6" t="s">
        <v>845</v>
      </c>
      <c r="C457" t="s">
        <v>54</v>
      </c>
      <c r="D457" t="s">
        <v>38</v>
      </c>
      <c r="E457">
        <v>25</v>
      </c>
      <c r="F457" t="s">
        <v>180</v>
      </c>
      <c r="G457" t="s">
        <v>16</v>
      </c>
      <c r="H457" s="6" t="s">
        <v>1825</v>
      </c>
      <c r="I457" s="11">
        <v>99317.66</v>
      </c>
      <c r="J457" t="s">
        <v>91</v>
      </c>
      <c r="K457">
        <v>-662668216</v>
      </c>
      <c r="L457" t="s">
        <v>41</v>
      </c>
      <c r="M457" t="b">
        <v>0</v>
      </c>
      <c r="N457" s="17">
        <f t="shared" si="7"/>
        <v>44596</v>
      </c>
      <c r="O457" t="str">
        <f>LEFT(Table1[[#This Row],[Department_Region]], FIND("-", Table1[[#This Row],[Department_Region]]) - 1)</f>
        <v>Sales</v>
      </c>
      <c r="P457" t="str">
        <f>RIGHT(Table1[[#This Row],[Department_Region]],LEN(Table1[[#This Row],[Department_Region]]) - FIND("-",Table1[[#This Row],[Department_Region]]))</f>
        <v>California</v>
      </c>
      <c r="Q4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7" s="15"/>
    </row>
    <row r="458" spans="1:18" x14ac:dyDescent="0.2">
      <c r="A458" s="1">
        <v>456</v>
      </c>
      <c r="B458" s="6" t="s">
        <v>846</v>
      </c>
      <c r="C458" t="s">
        <v>13</v>
      </c>
      <c r="D458" t="s">
        <v>93</v>
      </c>
      <c r="E458">
        <v>35</v>
      </c>
      <c r="F458" t="s">
        <v>148</v>
      </c>
      <c r="G458" t="s">
        <v>16</v>
      </c>
      <c r="H458" s="6" t="s">
        <v>847</v>
      </c>
      <c r="I458" s="11">
        <v>101264.64</v>
      </c>
      <c r="J458" t="s">
        <v>94</v>
      </c>
      <c r="K458">
        <v>-1955356032</v>
      </c>
      <c r="L458" t="s">
        <v>18</v>
      </c>
      <c r="M458" t="b">
        <v>0</v>
      </c>
      <c r="N458" s="17">
        <f t="shared" si="7"/>
        <v>44153</v>
      </c>
      <c r="O458" t="str">
        <f>LEFT(Table1[[#This Row],[Department_Region]], FIND("-", Table1[[#This Row],[Department_Region]]) - 1)</f>
        <v>HR</v>
      </c>
      <c r="P458" t="str">
        <f>RIGHT(Table1[[#This Row],[Department_Region]],LEN(Table1[[#This Row],[Department_Region]]) - FIND("-",Table1[[#This Row],[Department_Region]]))</f>
        <v>California</v>
      </c>
      <c r="Q4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8" s="15"/>
    </row>
    <row r="459" spans="1:18" x14ac:dyDescent="0.2">
      <c r="A459" s="1">
        <v>457</v>
      </c>
      <c r="B459" s="6" t="s">
        <v>848</v>
      </c>
      <c r="C459" t="s">
        <v>65</v>
      </c>
      <c r="D459" t="s">
        <v>43</v>
      </c>
      <c r="E459">
        <v>35</v>
      </c>
      <c r="F459" t="s">
        <v>27</v>
      </c>
      <c r="G459" t="s">
        <v>28</v>
      </c>
      <c r="H459" s="6" t="s">
        <v>849</v>
      </c>
      <c r="I459" s="11">
        <v>112272.02</v>
      </c>
      <c r="J459" t="s">
        <v>261</v>
      </c>
      <c r="K459">
        <v>-1903689002</v>
      </c>
      <c r="L459" t="s">
        <v>41</v>
      </c>
      <c r="M459" t="b">
        <v>0</v>
      </c>
      <c r="N459" s="17">
        <f t="shared" si="7"/>
        <v>45251</v>
      </c>
      <c r="O459" t="str">
        <f>LEFT(Table1[[#This Row],[Department_Region]], FIND("-", Table1[[#This Row],[Department_Region]]) - 1)</f>
        <v>Admin</v>
      </c>
      <c r="P459" t="str">
        <f>RIGHT(Table1[[#This Row],[Department_Region]],LEN(Table1[[#This Row],[Department_Region]]) - FIND("-",Table1[[#This Row],[Department_Region]]))</f>
        <v>Nevada</v>
      </c>
      <c r="Q4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59" s="15"/>
    </row>
    <row r="460" spans="1:18" x14ac:dyDescent="0.2">
      <c r="A460" s="1">
        <v>458</v>
      </c>
      <c r="B460" s="6" t="s">
        <v>850</v>
      </c>
      <c r="C460" t="s">
        <v>37</v>
      </c>
      <c r="D460" t="s">
        <v>38</v>
      </c>
      <c r="E460">
        <v>30</v>
      </c>
      <c r="F460" t="s">
        <v>79</v>
      </c>
      <c r="G460" t="s">
        <v>16</v>
      </c>
      <c r="H460" s="6" t="s">
        <v>851</v>
      </c>
      <c r="I460" s="11">
        <v>71477.63</v>
      </c>
      <c r="J460" t="s">
        <v>40</v>
      </c>
      <c r="K460">
        <v>-102724054</v>
      </c>
      <c r="L460" t="s">
        <v>30</v>
      </c>
      <c r="M460" t="b">
        <v>1</v>
      </c>
      <c r="N460" s="17">
        <f t="shared" si="7"/>
        <v>44605</v>
      </c>
      <c r="O460" t="str">
        <f>LEFT(Table1[[#This Row],[Department_Region]], FIND("-", Table1[[#This Row],[Department_Region]]) - 1)</f>
        <v>DevOps</v>
      </c>
      <c r="P460" t="str">
        <f>RIGHT(Table1[[#This Row],[Department_Region]],LEN(Table1[[#This Row],[Department_Region]]) - FIND("-",Table1[[#This Row],[Department_Region]]))</f>
        <v>Illinois</v>
      </c>
      <c r="Q4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60" s="15"/>
    </row>
    <row r="461" spans="1:18" x14ac:dyDescent="0.2">
      <c r="A461" s="1">
        <v>459</v>
      </c>
      <c r="B461" s="6" t="s">
        <v>852</v>
      </c>
      <c r="C461" t="s">
        <v>54</v>
      </c>
      <c r="D461" t="s">
        <v>38</v>
      </c>
      <c r="E461">
        <v>30</v>
      </c>
      <c r="F461" t="s">
        <v>241</v>
      </c>
      <c r="G461" t="s">
        <v>28</v>
      </c>
      <c r="H461" s="6" t="s">
        <v>853</v>
      </c>
      <c r="I461" s="11">
        <v>77412.100000000006</v>
      </c>
      <c r="J461" t="s">
        <v>91</v>
      </c>
      <c r="K461">
        <v>-9342967110</v>
      </c>
      <c r="L461" t="s">
        <v>41</v>
      </c>
      <c r="M461" t="b">
        <v>0</v>
      </c>
      <c r="N461" s="17">
        <f t="shared" si="7"/>
        <v>45004</v>
      </c>
      <c r="O461" t="str">
        <f>LEFT(Table1[[#This Row],[Department_Region]], FIND("-", Table1[[#This Row],[Department_Region]]) - 1)</f>
        <v>DevOps</v>
      </c>
      <c r="P461" t="str">
        <f>RIGHT(Table1[[#This Row],[Department_Region]],LEN(Table1[[#This Row],[Department_Region]]) - FIND("-",Table1[[#This Row],[Department_Region]]))</f>
        <v>Texas</v>
      </c>
      <c r="Q4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61" s="15"/>
    </row>
    <row r="462" spans="1:18" x14ac:dyDescent="0.2">
      <c r="A462" s="1">
        <v>460</v>
      </c>
      <c r="B462" s="6" t="s">
        <v>854</v>
      </c>
      <c r="C462" t="s">
        <v>25</v>
      </c>
      <c r="D462" t="s">
        <v>55</v>
      </c>
      <c r="E462">
        <v>30</v>
      </c>
      <c r="F462" t="s">
        <v>180</v>
      </c>
      <c r="G462" t="s">
        <v>28</v>
      </c>
      <c r="H462" s="6" t="s">
        <v>855</v>
      </c>
      <c r="I462" s="11">
        <v>94775.27</v>
      </c>
      <c r="J462" t="s">
        <v>152</v>
      </c>
      <c r="K462">
        <v>-4837537457</v>
      </c>
      <c r="L462" t="s">
        <v>18</v>
      </c>
      <c r="M462" t="b">
        <v>0</v>
      </c>
      <c r="N462" s="17">
        <f t="shared" si="7"/>
        <v>44283</v>
      </c>
      <c r="O462" t="str">
        <f>LEFT(Table1[[#This Row],[Department_Region]], FIND("-", Table1[[#This Row],[Department_Region]]) - 1)</f>
        <v>Sales</v>
      </c>
      <c r="P462" t="str">
        <f>RIGHT(Table1[[#This Row],[Department_Region]],LEN(Table1[[#This Row],[Department_Region]]) - FIND("-",Table1[[#This Row],[Department_Region]]))</f>
        <v>California</v>
      </c>
      <c r="Q4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62" s="15"/>
    </row>
    <row r="463" spans="1:18" x14ac:dyDescent="0.2">
      <c r="A463" s="1">
        <v>461</v>
      </c>
      <c r="B463" s="6" t="s">
        <v>856</v>
      </c>
      <c r="C463" t="s">
        <v>65</v>
      </c>
      <c r="D463" t="s">
        <v>26</v>
      </c>
      <c r="E463">
        <v>30</v>
      </c>
      <c r="F463" t="s">
        <v>151</v>
      </c>
      <c r="G463" t="s">
        <v>16</v>
      </c>
      <c r="H463" s="6" t="s">
        <v>1826</v>
      </c>
      <c r="I463" s="11">
        <v>74276.710000000006</v>
      </c>
      <c r="J463" t="s">
        <v>324</v>
      </c>
      <c r="K463">
        <v>-4384588104</v>
      </c>
      <c r="L463" t="s">
        <v>23</v>
      </c>
      <c r="M463" t="b">
        <v>1</v>
      </c>
      <c r="N463" s="17">
        <f t="shared" si="7"/>
        <v>44318</v>
      </c>
      <c r="O463" t="str">
        <f>LEFT(Table1[[#This Row],[Department_Region]], FIND("-", Table1[[#This Row],[Department_Region]]) - 1)</f>
        <v>HR</v>
      </c>
      <c r="P463" t="str">
        <f>RIGHT(Table1[[#This Row],[Department_Region]],LEN(Table1[[#This Row],[Department_Region]]) - FIND("-",Table1[[#This Row],[Department_Region]]))</f>
        <v>Nevada</v>
      </c>
      <c r="Q4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63" s="15"/>
    </row>
    <row r="464" spans="1:18" x14ac:dyDescent="0.2">
      <c r="A464" s="1">
        <v>462</v>
      </c>
      <c r="B464" s="6" t="s">
        <v>857</v>
      </c>
      <c r="C464" t="s">
        <v>13</v>
      </c>
      <c r="D464" t="s">
        <v>93</v>
      </c>
      <c r="E464">
        <v>35</v>
      </c>
      <c r="F464" t="s">
        <v>21</v>
      </c>
      <c r="G464" t="s">
        <v>33</v>
      </c>
      <c r="H464" s="6" t="s">
        <v>1827</v>
      </c>
      <c r="I464" s="11">
        <v>67467.86</v>
      </c>
      <c r="J464" t="s">
        <v>94</v>
      </c>
      <c r="K464">
        <v>-6974132833</v>
      </c>
      <c r="L464" t="s">
        <v>30</v>
      </c>
      <c r="M464" t="b">
        <v>1</v>
      </c>
      <c r="N464" s="17">
        <f t="shared" si="7"/>
        <v>44260</v>
      </c>
      <c r="O464" t="str">
        <f>LEFT(Table1[[#This Row],[Department_Region]], FIND("-", Table1[[#This Row],[Department_Region]]) - 1)</f>
        <v>Finance</v>
      </c>
      <c r="P464" t="str">
        <f>RIGHT(Table1[[#This Row],[Department_Region]],LEN(Table1[[#This Row],[Department_Region]]) - FIND("-",Table1[[#This Row],[Department_Region]]))</f>
        <v>Texas</v>
      </c>
      <c r="Q4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64" s="15"/>
    </row>
    <row r="465" spans="1:18" x14ac:dyDescent="0.2">
      <c r="A465" s="1">
        <v>463</v>
      </c>
      <c r="B465" s="6" t="s">
        <v>858</v>
      </c>
      <c r="C465" t="s">
        <v>32</v>
      </c>
      <c r="D465" t="s">
        <v>124</v>
      </c>
      <c r="E465">
        <v>25</v>
      </c>
      <c r="F465" t="s">
        <v>241</v>
      </c>
      <c r="G465" t="s">
        <v>16</v>
      </c>
      <c r="H465" s="6" t="s">
        <v>1828</v>
      </c>
      <c r="I465" s="11">
        <v>80675.41</v>
      </c>
      <c r="J465" t="s">
        <v>529</v>
      </c>
      <c r="K465">
        <v>-8315203770</v>
      </c>
      <c r="L465" t="s">
        <v>23</v>
      </c>
      <c r="M465" t="b">
        <v>0</v>
      </c>
      <c r="N465" s="17">
        <f t="shared" si="7"/>
        <v>44621</v>
      </c>
      <c r="O465" t="str">
        <f>LEFT(Table1[[#This Row],[Department_Region]], FIND("-", Table1[[#This Row],[Department_Region]]) - 1)</f>
        <v>DevOps</v>
      </c>
      <c r="P465" t="str">
        <f>RIGHT(Table1[[#This Row],[Department_Region]],LEN(Table1[[#This Row],[Department_Region]]) - FIND("-",Table1[[#This Row],[Department_Region]]))</f>
        <v>Texas</v>
      </c>
      <c r="Q4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65" s="15"/>
    </row>
    <row r="466" spans="1:18" x14ac:dyDescent="0.2">
      <c r="A466" s="1">
        <v>464</v>
      </c>
      <c r="B466" s="6" t="s">
        <v>859</v>
      </c>
      <c r="C466" t="s">
        <v>54</v>
      </c>
      <c r="D466" t="s">
        <v>20</v>
      </c>
      <c r="E466">
        <v>40</v>
      </c>
      <c r="F466" t="s">
        <v>113</v>
      </c>
      <c r="G466" t="s">
        <v>33</v>
      </c>
      <c r="H466" s="6" t="s">
        <v>860</v>
      </c>
      <c r="I466" s="11">
        <v>76274.33</v>
      </c>
      <c r="J466" t="s">
        <v>127</v>
      </c>
      <c r="K466">
        <v>-704496409</v>
      </c>
      <c r="L466" t="s">
        <v>18</v>
      </c>
      <c r="M466" t="b">
        <v>0</v>
      </c>
      <c r="N466" s="17">
        <f t="shared" si="7"/>
        <v>44949</v>
      </c>
      <c r="O466" t="str">
        <f>LEFT(Table1[[#This Row],[Department_Region]], FIND("-", Table1[[#This Row],[Department_Region]]) - 1)</f>
        <v>Finance</v>
      </c>
      <c r="P466" t="str">
        <f>RIGHT(Table1[[#This Row],[Department_Region]],LEN(Table1[[#This Row],[Department_Region]]) - FIND("-",Table1[[#This Row],[Department_Region]]))</f>
        <v>Florida</v>
      </c>
      <c r="Q4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66" s="15"/>
    </row>
    <row r="467" spans="1:18" x14ac:dyDescent="0.2">
      <c r="A467" s="1">
        <v>465</v>
      </c>
      <c r="B467" s="6" t="s">
        <v>861</v>
      </c>
      <c r="C467" t="s">
        <v>59</v>
      </c>
      <c r="D467" t="s">
        <v>14</v>
      </c>
      <c r="E467">
        <v>30</v>
      </c>
      <c r="F467" t="s">
        <v>21</v>
      </c>
      <c r="G467" t="s">
        <v>16</v>
      </c>
      <c r="H467" s="6" t="s">
        <v>862</v>
      </c>
      <c r="I467" s="11">
        <v>51405.46</v>
      </c>
      <c r="J467" t="s">
        <v>63</v>
      </c>
      <c r="K467">
        <v>-4967066702</v>
      </c>
      <c r="L467" t="s">
        <v>18</v>
      </c>
      <c r="M467" t="b">
        <v>1</v>
      </c>
      <c r="N467" s="17">
        <f t="shared" si="7"/>
        <v>44434</v>
      </c>
      <c r="O467" t="str">
        <f>LEFT(Table1[[#This Row],[Department_Region]], FIND("-", Table1[[#This Row],[Department_Region]]) - 1)</f>
        <v>Finance</v>
      </c>
      <c r="P467" t="str">
        <f>RIGHT(Table1[[#This Row],[Department_Region]],LEN(Table1[[#This Row],[Department_Region]]) - FIND("-",Table1[[#This Row],[Department_Region]]))</f>
        <v>Texas</v>
      </c>
      <c r="Q4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67" s="15"/>
    </row>
    <row r="468" spans="1:18" x14ac:dyDescent="0.2">
      <c r="A468" s="1">
        <v>466</v>
      </c>
      <c r="B468" s="6" t="s">
        <v>863</v>
      </c>
      <c r="C468" t="s">
        <v>13</v>
      </c>
      <c r="D468" t="s">
        <v>43</v>
      </c>
      <c r="E468">
        <v>25</v>
      </c>
      <c r="F468" t="s">
        <v>66</v>
      </c>
      <c r="G468" t="s">
        <v>33</v>
      </c>
      <c r="H468" s="6" t="s">
        <v>864</v>
      </c>
      <c r="I468" s="11">
        <v>101238.96</v>
      </c>
      <c r="J468" t="s">
        <v>155</v>
      </c>
      <c r="K468">
        <v>-3626804084</v>
      </c>
      <c r="L468" t="s">
        <v>18</v>
      </c>
      <c r="M468" t="b">
        <v>1</v>
      </c>
      <c r="N468" s="17">
        <f t="shared" si="7"/>
        <v>44160</v>
      </c>
      <c r="O468" t="str">
        <f>LEFT(Table1[[#This Row],[Department_Region]], FIND("-", Table1[[#This Row],[Department_Region]]) - 1)</f>
        <v>HR</v>
      </c>
      <c r="P468" t="str">
        <f>RIGHT(Table1[[#This Row],[Department_Region]],LEN(Table1[[#This Row],[Department_Region]]) - FIND("-",Table1[[#This Row],[Department_Region]]))</f>
        <v>New York</v>
      </c>
      <c r="Q4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68" s="15"/>
    </row>
    <row r="469" spans="1:18" x14ac:dyDescent="0.2">
      <c r="A469" s="1">
        <v>467</v>
      </c>
      <c r="B469" s="6" t="s">
        <v>865</v>
      </c>
      <c r="C469" t="s">
        <v>13</v>
      </c>
      <c r="D469" t="s">
        <v>124</v>
      </c>
      <c r="E469">
        <v>35</v>
      </c>
      <c r="F469" t="s">
        <v>99</v>
      </c>
      <c r="G469" t="s">
        <v>33</v>
      </c>
      <c r="H469" s="6" t="s">
        <v>866</v>
      </c>
      <c r="I469" s="11">
        <v>52169.52</v>
      </c>
      <c r="J469" t="s">
        <v>125</v>
      </c>
      <c r="K469">
        <v>-954930595</v>
      </c>
      <c r="L469" t="s">
        <v>23</v>
      </c>
      <c r="M469" t="b">
        <v>0</v>
      </c>
      <c r="N469" s="17">
        <f t="shared" si="7"/>
        <v>45273</v>
      </c>
      <c r="O469" t="str">
        <f>LEFT(Table1[[#This Row],[Department_Region]], FIND("-", Table1[[#This Row],[Department_Region]]) - 1)</f>
        <v>Sales</v>
      </c>
      <c r="P469" t="str">
        <f>RIGHT(Table1[[#This Row],[Department_Region]],LEN(Table1[[#This Row],[Department_Region]]) - FIND("-",Table1[[#This Row],[Department_Region]]))</f>
        <v>Illinois</v>
      </c>
      <c r="Q4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69" s="15"/>
    </row>
    <row r="470" spans="1:18" x14ac:dyDescent="0.2">
      <c r="A470" s="1">
        <v>468</v>
      </c>
      <c r="B470" s="6" t="s">
        <v>867</v>
      </c>
      <c r="C470" t="s">
        <v>54</v>
      </c>
      <c r="D470" t="s">
        <v>26</v>
      </c>
      <c r="E470">
        <v>32</v>
      </c>
      <c r="F470" t="s">
        <v>230</v>
      </c>
      <c r="G470" t="s">
        <v>16</v>
      </c>
      <c r="H470" s="6" t="s">
        <v>868</v>
      </c>
      <c r="I470" s="11">
        <v>73176.62</v>
      </c>
      <c r="J470" t="s">
        <v>122</v>
      </c>
      <c r="K470">
        <v>-6018648768</v>
      </c>
      <c r="L470" t="s">
        <v>23</v>
      </c>
      <c r="M470" t="b">
        <v>0</v>
      </c>
      <c r="N470" s="17">
        <f t="shared" si="7"/>
        <v>44038</v>
      </c>
      <c r="O470" t="str">
        <f>LEFT(Table1[[#This Row],[Department_Region]], FIND("-", Table1[[#This Row],[Department_Region]]) - 1)</f>
        <v>Finance</v>
      </c>
      <c r="P470" t="str">
        <f>RIGHT(Table1[[#This Row],[Department_Region]],LEN(Table1[[#This Row],[Department_Region]]) - FIND("-",Table1[[#This Row],[Department_Region]]))</f>
        <v>New York</v>
      </c>
      <c r="Q4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0" s="15"/>
    </row>
    <row r="471" spans="1:18" x14ac:dyDescent="0.2">
      <c r="A471" s="1">
        <v>469</v>
      </c>
      <c r="B471" s="6" t="s">
        <v>869</v>
      </c>
      <c r="C471" t="s">
        <v>69</v>
      </c>
      <c r="D471" t="s">
        <v>20</v>
      </c>
      <c r="E471">
        <v>32</v>
      </c>
      <c r="F471" t="s">
        <v>333</v>
      </c>
      <c r="G471" t="s">
        <v>28</v>
      </c>
      <c r="H471" s="6" t="s">
        <v>145</v>
      </c>
      <c r="I471" s="11">
        <v>96241.85</v>
      </c>
      <c r="J471" t="s">
        <v>204</v>
      </c>
      <c r="K471">
        <v>-9842673203</v>
      </c>
      <c r="L471" t="s">
        <v>23</v>
      </c>
      <c r="M471" t="b">
        <v>0</v>
      </c>
      <c r="N471" s="17">
        <f t="shared" si="7"/>
        <v>44374</v>
      </c>
      <c r="O471" t="str">
        <f>LEFT(Table1[[#This Row],[Department_Region]], FIND("-", Table1[[#This Row],[Department_Region]]) - 1)</f>
        <v>DevOps</v>
      </c>
      <c r="P471" t="str">
        <f>RIGHT(Table1[[#This Row],[Department_Region]],LEN(Table1[[#This Row],[Department_Region]]) - FIND("-",Table1[[#This Row],[Department_Region]]))</f>
        <v>Nevada</v>
      </c>
      <c r="Q4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1" s="15"/>
    </row>
    <row r="472" spans="1:18" x14ac:dyDescent="0.2">
      <c r="A472" s="1">
        <v>470</v>
      </c>
      <c r="B472" s="6" t="s">
        <v>870</v>
      </c>
      <c r="C472" t="s">
        <v>13</v>
      </c>
      <c r="D472" t="s">
        <v>26</v>
      </c>
      <c r="E472">
        <v>25</v>
      </c>
      <c r="F472" t="s">
        <v>269</v>
      </c>
      <c r="G472" t="s">
        <v>28</v>
      </c>
      <c r="H472" s="6" t="s">
        <v>213</v>
      </c>
      <c r="I472" s="11">
        <v>84366.38</v>
      </c>
      <c r="J472" t="s">
        <v>50</v>
      </c>
      <c r="K472">
        <v>-4138459608</v>
      </c>
      <c r="L472" t="s">
        <v>23</v>
      </c>
      <c r="M472" t="b">
        <v>0</v>
      </c>
      <c r="N472" s="17">
        <f t="shared" si="7"/>
        <v>45551</v>
      </c>
      <c r="O472" t="str">
        <f>LEFT(Table1[[#This Row],[Department_Region]], FIND("-", Table1[[#This Row],[Department_Region]]) - 1)</f>
        <v>Finance</v>
      </c>
      <c r="P472" t="str">
        <f>RIGHT(Table1[[#This Row],[Department_Region]],LEN(Table1[[#This Row],[Department_Region]]) - FIND("-",Table1[[#This Row],[Department_Region]]))</f>
        <v>Illinois</v>
      </c>
      <c r="Q4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2" s="15"/>
    </row>
    <row r="473" spans="1:18" x14ac:dyDescent="0.2">
      <c r="A473" s="1">
        <v>471</v>
      </c>
      <c r="B473" s="6" t="s">
        <v>871</v>
      </c>
      <c r="C473" t="s">
        <v>25</v>
      </c>
      <c r="D473" t="s">
        <v>43</v>
      </c>
      <c r="E473">
        <v>40</v>
      </c>
      <c r="F473" t="s">
        <v>272</v>
      </c>
      <c r="G473" t="s">
        <v>28</v>
      </c>
      <c r="H473" s="6" t="s">
        <v>1798</v>
      </c>
      <c r="I473" s="11">
        <v>92015.09</v>
      </c>
      <c r="J473" t="s">
        <v>45</v>
      </c>
      <c r="K473">
        <v>-4544901494</v>
      </c>
      <c r="L473" t="s">
        <v>18</v>
      </c>
      <c r="M473" t="b">
        <v>1</v>
      </c>
      <c r="N473" s="17">
        <f t="shared" si="7"/>
        <v>45111</v>
      </c>
      <c r="O473" t="str">
        <f>LEFT(Table1[[#This Row],[Department_Region]], FIND("-", Table1[[#This Row],[Department_Region]]) - 1)</f>
        <v>Cloud Tech</v>
      </c>
      <c r="P473" t="str">
        <f>RIGHT(Table1[[#This Row],[Department_Region]],LEN(Table1[[#This Row],[Department_Region]]) - FIND("-",Table1[[#This Row],[Department_Region]]))</f>
        <v>California</v>
      </c>
      <c r="Q4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3" s="15"/>
    </row>
    <row r="474" spans="1:18" x14ac:dyDescent="0.2">
      <c r="A474" s="1">
        <v>472</v>
      </c>
      <c r="B474" s="6" t="s">
        <v>872</v>
      </c>
      <c r="C474" t="s">
        <v>25</v>
      </c>
      <c r="D474" t="s">
        <v>38</v>
      </c>
      <c r="E474">
        <v>30</v>
      </c>
      <c r="F474" t="s">
        <v>27</v>
      </c>
      <c r="G474" t="s">
        <v>33</v>
      </c>
      <c r="H474" s="6" t="s">
        <v>873</v>
      </c>
      <c r="I474" s="11">
        <v>83149.95</v>
      </c>
      <c r="J474" t="s">
        <v>368</v>
      </c>
      <c r="K474">
        <v>-4277070704</v>
      </c>
      <c r="L474" t="s">
        <v>18</v>
      </c>
      <c r="M474" t="b">
        <v>0</v>
      </c>
      <c r="N474" s="17">
        <f t="shared" si="7"/>
        <v>43998</v>
      </c>
      <c r="O474" t="str">
        <f>LEFT(Table1[[#This Row],[Department_Region]], FIND("-", Table1[[#This Row],[Department_Region]]) - 1)</f>
        <v>Admin</v>
      </c>
      <c r="P474" t="str">
        <f>RIGHT(Table1[[#This Row],[Department_Region]],LEN(Table1[[#This Row],[Department_Region]]) - FIND("-",Table1[[#This Row],[Department_Region]]))</f>
        <v>Nevada</v>
      </c>
      <c r="Q4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74" s="15"/>
    </row>
    <row r="475" spans="1:18" x14ac:dyDescent="0.2">
      <c r="A475" s="1">
        <v>473</v>
      </c>
      <c r="B475" s="6" t="s">
        <v>874</v>
      </c>
      <c r="C475" t="s">
        <v>69</v>
      </c>
      <c r="D475" t="s">
        <v>20</v>
      </c>
      <c r="E475">
        <v>40</v>
      </c>
      <c r="F475" t="s">
        <v>101</v>
      </c>
      <c r="G475" t="s">
        <v>33</v>
      </c>
      <c r="H475" s="6" t="s">
        <v>1734</v>
      </c>
      <c r="I475" s="11">
        <v>94930.65</v>
      </c>
      <c r="J475" t="s">
        <v>204</v>
      </c>
      <c r="K475">
        <v>-7836091497</v>
      </c>
      <c r="L475" t="s">
        <v>30</v>
      </c>
      <c r="M475" t="b">
        <v>0</v>
      </c>
      <c r="N475" s="17">
        <f t="shared" si="7"/>
        <v>44017</v>
      </c>
      <c r="O475" t="str">
        <f>LEFT(Table1[[#This Row],[Department_Region]], FIND("-", Table1[[#This Row],[Department_Region]]) - 1)</f>
        <v>Finance</v>
      </c>
      <c r="P475" t="str">
        <f>RIGHT(Table1[[#This Row],[Department_Region]],LEN(Table1[[#This Row],[Department_Region]]) - FIND("-",Table1[[#This Row],[Department_Region]]))</f>
        <v>Nevada</v>
      </c>
      <c r="Q4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5" s="15"/>
    </row>
    <row r="476" spans="1:18" x14ac:dyDescent="0.2">
      <c r="A476" s="1">
        <v>474</v>
      </c>
      <c r="B476" s="6" t="s">
        <v>875</v>
      </c>
      <c r="C476" t="s">
        <v>37</v>
      </c>
      <c r="D476" t="s">
        <v>38</v>
      </c>
      <c r="E476">
        <v>40</v>
      </c>
      <c r="F476" t="s">
        <v>66</v>
      </c>
      <c r="G476" t="s">
        <v>33</v>
      </c>
      <c r="H476" s="6" t="s">
        <v>1829</v>
      </c>
      <c r="I476" s="11">
        <v>68430.720000000001</v>
      </c>
      <c r="J476" t="s">
        <v>40</v>
      </c>
      <c r="K476">
        <v>-5172444722</v>
      </c>
      <c r="L476" t="s">
        <v>30</v>
      </c>
      <c r="M476" t="b">
        <v>1</v>
      </c>
      <c r="N476" s="17">
        <f t="shared" si="7"/>
        <v>43922</v>
      </c>
      <c r="O476" t="str">
        <f>LEFT(Table1[[#This Row],[Department_Region]], FIND("-", Table1[[#This Row],[Department_Region]]) - 1)</f>
        <v>HR</v>
      </c>
      <c r="P476" t="str">
        <f>RIGHT(Table1[[#This Row],[Department_Region]],LEN(Table1[[#This Row],[Department_Region]]) - FIND("-",Table1[[#This Row],[Department_Region]]))</f>
        <v>New York</v>
      </c>
      <c r="Q4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76" s="15"/>
    </row>
    <row r="477" spans="1:18" x14ac:dyDescent="0.2">
      <c r="A477" s="1">
        <v>475</v>
      </c>
      <c r="B477" s="6" t="s">
        <v>876</v>
      </c>
      <c r="C477" t="s">
        <v>59</v>
      </c>
      <c r="D477" t="s">
        <v>43</v>
      </c>
      <c r="E477">
        <v>35</v>
      </c>
      <c r="F477" t="s">
        <v>44</v>
      </c>
      <c r="G477" t="s">
        <v>16</v>
      </c>
      <c r="H477" s="6" t="s">
        <v>877</v>
      </c>
      <c r="I477" s="11">
        <v>98752.97</v>
      </c>
      <c r="J477" t="s">
        <v>102</v>
      </c>
      <c r="K477">
        <v>-2290310286</v>
      </c>
      <c r="L477" t="s">
        <v>23</v>
      </c>
      <c r="M477" t="b">
        <v>0</v>
      </c>
      <c r="N477" s="17">
        <f t="shared" si="7"/>
        <v>45371</v>
      </c>
      <c r="O477" t="str">
        <f>LEFT(Table1[[#This Row],[Department_Region]], FIND("-", Table1[[#This Row],[Department_Region]]) - 1)</f>
        <v>Sales</v>
      </c>
      <c r="P477" t="str">
        <f>RIGHT(Table1[[#This Row],[Department_Region]],LEN(Table1[[#This Row],[Department_Region]]) - FIND("-",Table1[[#This Row],[Department_Region]]))</f>
        <v>Texas</v>
      </c>
      <c r="Q4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77" s="15"/>
    </row>
    <row r="478" spans="1:18" x14ac:dyDescent="0.2">
      <c r="A478" s="1">
        <v>476</v>
      </c>
      <c r="B478" s="6" t="s">
        <v>878</v>
      </c>
      <c r="C478" t="s">
        <v>37</v>
      </c>
      <c r="D478" t="s">
        <v>124</v>
      </c>
      <c r="E478">
        <v>32</v>
      </c>
      <c r="F478" t="s">
        <v>269</v>
      </c>
      <c r="G478" t="s">
        <v>16</v>
      </c>
      <c r="H478" s="6" t="s">
        <v>1830</v>
      </c>
      <c r="I478" s="11">
        <v>54268.86</v>
      </c>
      <c r="J478" t="s">
        <v>139</v>
      </c>
      <c r="K478">
        <v>-9508304404</v>
      </c>
      <c r="L478" t="s">
        <v>41</v>
      </c>
      <c r="M478" t="b">
        <v>1</v>
      </c>
      <c r="N478" s="17">
        <f t="shared" si="7"/>
        <v>44964</v>
      </c>
      <c r="O478" t="str">
        <f>LEFT(Table1[[#This Row],[Department_Region]], FIND("-", Table1[[#This Row],[Department_Region]]) - 1)</f>
        <v>Finance</v>
      </c>
      <c r="P478" t="str">
        <f>RIGHT(Table1[[#This Row],[Department_Region]],LEN(Table1[[#This Row],[Department_Region]]) - FIND("-",Table1[[#This Row],[Department_Region]]))</f>
        <v>Illinois</v>
      </c>
      <c r="Q4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78" s="15"/>
    </row>
    <row r="479" spans="1:18" x14ac:dyDescent="0.2">
      <c r="A479" s="1">
        <v>477</v>
      </c>
      <c r="B479" s="6" t="s">
        <v>879</v>
      </c>
      <c r="C479" t="s">
        <v>69</v>
      </c>
      <c r="D479" t="s">
        <v>43</v>
      </c>
      <c r="E479">
        <v>32</v>
      </c>
      <c r="F479" t="s">
        <v>233</v>
      </c>
      <c r="G479" t="s">
        <v>28</v>
      </c>
      <c r="H479" s="6" t="s">
        <v>880</v>
      </c>
      <c r="I479" s="11">
        <v>66494.94</v>
      </c>
      <c r="J479" t="s">
        <v>84</v>
      </c>
      <c r="K479">
        <v>-8093511870</v>
      </c>
      <c r="L479" t="s">
        <v>41</v>
      </c>
      <c r="M479" t="b">
        <v>0</v>
      </c>
      <c r="N479" s="17">
        <f t="shared" si="7"/>
        <v>45636</v>
      </c>
      <c r="O479" t="str">
        <f>LEFT(Table1[[#This Row],[Department_Region]], FIND("-", Table1[[#This Row],[Department_Region]]) - 1)</f>
        <v>DevOps</v>
      </c>
      <c r="P479" t="str">
        <f>RIGHT(Table1[[#This Row],[Department_Region]],LEN(Table1[[#This Row],[Department_Region]]) - FIND("-",Table1[[#This Row],[Department_Region]]))</f>
        <v>Florida</v>
      </c>
      <c r="Q4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479" s="15"/>
    </row>
    <row r="480" spans="1:18" x14ac:dyDescent="0.2">
      <c r="A480" s="1">
        <v>478</v>
      </c>
      <c r="B480" s="6" t="s">
        <v>881</v>
      </c>
      <c r="C480" t="s">
        <v>69</v>
      </c>
      <c r="D480" t="s">
        <v>124</v>
      </c>
      <c r="E480">
        <v>25</v>
      </c>
      <c r="F480" t="s">
        <v>99</v>
      </c>
      <c r="G480" t="s">
        <v>28</v>
      </c>
      <c r="H480" s="6" t="s">
        <v>882</v>
      </c>
      <c r="I480" s="11">
        <v>90003.98</v>
      </c>
      <c r="J480" t="s">
        <v>137</v>
      </c>
      <c r="K480">
        <v>-8133595615</v>
      </c>
      <c r="L480" t="s">
        <v>18</v>
      </c>
      <c r="M480" t="b">
        <v>0</v>
      </c>
      <c r="N480" s="17">
        <f t="shared" si="7"/>
        <v>45470</v>
      </c>
      <c r="O480" t="str">
        <f>LEFT(Table1[[#This Row],[Department_Region]], FIND("-", Table1[[#This Row],[Department_Region]]) - 1)</f>
        <v>Sales</v>
      </c>
      <c r="P480" t="str">
        <f>RIGHT(Table1[[#This Row],[Department_Region]],LEN(Table1[[#This Row],[Department_Region]]) - FIND("-",Table1[[#This Row],[Department_Region]]))</f>
        <v>Illinois</v>
      </c>
      <c r="Q4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0" s="15"/>
    </row>
    <row r="481" spans="1:18" x14ac:dyDescent="0.2">
      <c r="A481" s="1">
        <v>479</v>
      </c>
      <c r="B481" s="6" t="s">
        <v>883</v>
      </c>
      <c r="C481" t="s">
        <v>54</v>
      </c>
      <c r="D481" t="s">
        <v>20</v>
      </c>
      <c r="E481">
        <v>25</v>
      </c>
      <c r="F481" t="s">
        <v>230</v>
      </c>
      <c r="G481" t="s">
        <v>16</v>
      </c>
      <c r="H481" s="6" t="s">
        <v>1685</v>
      </c>
      <c r="I481" s="11">
        <v>106592.25</v>
      </c>
      <c r="J481" t="s">
        <v>127</v>
      </c>
      <c r="K481">
        <v>-4205955656</v>
      </c>
      <c r="L481" t="s">
        <v>18</v>
      </c>
      <c r="M481" t="b">
        <v>1</v>
      </c>
      <c r="N481" s="17">
        <f t="shared" si="7"/>
        <v>44264</v>
      </c>
      <c r="O481" t="str">
        <f>LEFT(Table1[[#This Row],[Department_Region]], FIND("-", Table1[[#This Row],[Department_Region]]) - 1)</f>
        <v>Finance</v>
      </c>
      <c r="P481" t="str">
        <f>RIGHT(Table1[[#This Row],[Department_Region]],LEN(Table1[[#This Row],[Department_Region]]) - FIND("-",Table1[[#This Row],[Department_Region]]))</f>
        <v>New York</v>
      </c>
      <c r="Q4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81" s="15"/>
    </row>
    <row r="482" spans="1:18" x14ac:dyDescent="0.2">
      <c r="A482" s="1">
        <v>480</v>
      </c>
      <c r="B482" s="6" t="s">
        <v>884</v>
      </c>
      <c r="C482" t="s">
        <v>69</v>
      </c>
      <c r="D482" t="s">
        <v>20</v>
      </c>
      <c r="E482">
        <v>25</v>
      </c>
      <c r="F482" t="s">
        <v>233</v>
      </c>
      <c r="G482" t="s">
        <v>16</v>
      </c>
      <c r="H482" s="6" t="s">
        <v>1831</v>
      </c>
      <c r="I482" s="11">
        <v>93905.83</v>
      </c>
      <c r="J482" t="s">
        <v>204</v>
      </c>
      <c r="K482">
        <v>-4902504289</v>
      </c>
      <c r="L482" t="s">
        <v>18</v>
      </c>
      <c r="M482" t="b">
        <v>1</v>
      </c>
      <c r="N482" s="17">
        <f t="shared" si="7"/>
        <v>45515</v>
      </c>
      <c r="O482" t="str">
        <f>LEFT(Table1[[#This Row],[Department_Region]], FIND("-", Table1[[#This Row],[Department_Region]]) - 1)</f>
        <v>DevOps</v>
      </c>
      <c r="P482" t="str">
        <f>RIGHT(Table1[[#This Row],[Department_Region]],LEN(Table1[[#This Row],[Department_Region]]) - FIND("-",Table1[[#This Row],[Department_Region]]))</f>
        <v>Florida</v>
      </c>
      <c r="Q4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2" s="15"/>
    </row>
    <row r="483" spans="1:18" x14ac:dyDescent="0.2">
      <c r="A483" s="1">
        <v>481</v>
      </c>
      <c r="B483" s="6" t="s">
        <v>885</v>
      </c>
      <c r="C483" t="s">
        <v>32</v>
      </c>
      <c r="D483" t="s">
        <v>93</v>
      </c>
      <c r="E483">
        <v>35</v>
      </c>
      <c r="F483" t="s">
        <v>241</v>
      </c>
      <c r="G483" t="s">
        <v>16</v>
      </c>
      <c r="H483" s="6" t="s">
        <v>1796</v>
      </c>
      <c r="I483" s="11">
        <v>88945.49</v>
      </c>
      <c r="J483" t="s">
        <v>267</v>
      </c>
      <c r="K483">
        <v>-1935889535</v>
      </c>
      <c r="L483" t="s">
        <v>30</v>
      </c>
      <c r="M483" t="b">
        <v>0</v>
      </c>
      <c r="N483" s="17">
        <f t="shared" si="7"/>
        <v>44625</v>
      </c>
      <c r="O483" t="str">
        <f>LEFT(Table1[[#This Row],[Department_Region]], FIND("-", Table1[[#This Row],[Department_Region]]) - 1)</f>
        <v>DevOps</v>
      </c>
      <c r="P483" t="str">
        <f>RIGHT(Table1[[#This Row],[Department_Region]],LEN(Table1[[#This Row],[Department_Region]]) - FIND("-",Table1[[#This Row],[Department_Region]]))</f>
        <v>Texas</v>
      </c>
      <c r="Q4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3" s="15"/>
    </row>
    <row r="484" spans="1:18" x14ac:dyDescent="0.2">
      <c r="A484" s="1">
        <v>482</v>
      </c>
      <c r="B484" s="6" t="s">
        <v>886</v>
      </c>
      <c r="C484" t="s">
        <v>32</v>
      </c>
      <c r="D484" t="s">
        <v>26</v>
      </c>
      <c r="E484">
        <v>32</v>
      </c>
      <c r="F484" t="s">
        <v>21</v>
      </c>
      <c r="G484" t="s">
        <v>28</v>
      </c>
      <c r="H484" s="6" t="s">
        <v>338</v>
      </c>
      <c r="I484" s="11">
        <v>91130.33</v>
      </c>
      <c r="J484" t="s">
        <v>281</v>
      </c>
      <c r="K484">
        <v>-9026113988</v>
      </c>
      <c r="L484" t="s">
        <v>30</v>
      </c>
      <c r="M484" t="b">
        <v>0</v>
      </c>
      <c r="N484" s="17">
        <f t="shared" si="7"/>
        <v>45107</v>
      </c>
      <c r="O484" t="str">
        <f>LEFT(Table1[[#This Row],[Department_Region]], FIND("-", Table1[[#This Row],[Department_Region]]) - 1)</f>
        <v>Finance</v>
      </c>
      <c r="P484" t="str">
        <f>RIGHT(Table1[[#This Row],[Department_Region]],LEN(Table1[[#This Row],[Department_Region]]) - FIND("-",Table1[[#This Row],[Department_Region]]))</f>
        <v>Texas</v>
      </c>
      <c r="Q4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4" s="15"/>
    </row>
    <row r="485" spans="1:18" x14ac:dyDescent="0.2">
      <c r="A485" s="1">
        <v>483</v>
      </c>
      <c r="B485" s="6" t="s">
        <v>887</v>
      </c>
      <c r="C485" t="s">
        <v>13</v>
      </c>
      <c r="D485" t="s">
        <v>93</v>
      </c>
      <c r="E485">
        <v>40</v>
      </c>
      <c r="F485" t="s">
        <v>199</v>
      </c>
      <c r="G485" t="s">
        <v>28</v>
      </c>
      <c r="H485" s="6" t="s">
        <v>888</v>
      </c>
      <c r="I485" s="11">
        <v>90787.4</v>
      </c>
      <c r="J485" t="s">
        <v>94</v>
      </c>
      <c r="K485">
        <v>-8681809787</v>
      </c>
      <c r="L485" t="s">
        <v>18</v>
      </c>
      <c r="M485" t="b">
        <v>0</v>
      </c>
      <c r="N485" s="17">
        <f t="shared" si="7"/>
        <v>45035</v>
      </c>
      <c r="O485" t="str">
        <f>LEFT(Table1[[#This Row],[Department_Region]], FIND("-", Table1[[#This Row],[Department_Region]]) - 1)</f>
        <v>Admin</v>
      </c>
      <c r="P485" t="str">
        <f>RIGHT(Table1[[#This Row],[Department_Region]],LEN(Table1[[#This Row],[Department_Region]]) - FIND("-",Table1[[#This Row],[Department_Region]]))</f>
        <v>New York</v>
      </c>
      <c r="Q4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85" s="15"/>
    </row>
    <row r="486" spans="1:18" x14ac:dyDescent="0.2">
      <c r="A486" s="1">
        <v>484</v>
      </c>
      <c r="B486" s="6" t="s">
        <v>889</v>
      </c>
      <c r="C486" t="s">
        <v>13</v>
      </c>
      <c r="D486" t="s">
        <v>26</v>
      </c>
      <c r="E486">
        <v>25</v>
      </c>
      <c r="F486" t="s">
        <v>44</v>
      </c>
      <c r="G486" t="s">
        <v>33</v>
      </c>
      <c r="H486" s="6" t="s">
        <v>890</v>
      </c>
      <c r="I486" s="11">
        <v>87494.34</v>
      </c>
      <c r="J486" t="s">
        <v>50</v>
      </c>
      <c r="K486">
        <v>-7543943534</v>
      </c>
      <c r="L486" t="s">
        <v>18</v>
      </c>
      <c r="M486" t="b">
        <v>1</v>
      </c>
      <c r="N486" s="17">
        <f t="shared" si="7"/>
        <v>45607</v>
      </c>
      <c r="O486" t="str">
        <f>LEFT(Table1[[#This Row],[Department_Region]], FIND("-", Table1[[#This Row],[Department_Region]]) - 1)</f>
        <v>Sales</v>
      </c>
      <c r="P486" t="str">
        <f>RIGHT(Table1[[#This Row],[Department_Region]],LEN(Table1[[#This Row],[Department_Region]]) - FIND("-",Table1[[#This Row],[Department_Region]]))</f>
        <v>Texas</v>
      </c>
      <c r="Q4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6" s="15"/>
    </row>
    <row r="487" spans="1:18" x14ac:dyDescent="0.2">
      <c r="A487" s="1">
        <v>485</v>
      </c>
      <c r="B487" s="6" t="s">
        <v>891</v>
      </c>
      <c r="C487" t="s">
        <v>69</v>
      </c>
      <c r="D487" t="s">
        <v>93</v>
      </c>
      <c r="E487">
        <v>35</v>
      </c>
      <c r="F487" t="s">
        <v>101</v>
      </c>
      <c r="G487" t="s">
        <v>33</v>
      </c>
      <c r="H487" s="6" t="s">
        <v>892</v>
      </c>
      <c r="I487" s="11">
        <v>92627.35</v>
      </c>
      <c r="J487" t="s">
        <v>170</v>
      </c>
      <c r="K487">
        <v>-3751376514</v>
      </c>
      <c r="L487" t="s">
        <v>18</v>
      </c>
      <c r="M487" t="b">
        <v>0</v>
      </c>
      <c r="N487" s="17">
        <f t="shared" si="7"/>
        <v>45002</v>
      </c>
      <c r="O487" t="str">
        <f>LEFT(Table1[[#This Row],[Department_Region]], FIND("-", Table1[[#This Row],[Department_Region]]) - 1)</f>
        <v>Finance</v>
      </c>
      <c r="P487" t="str">
        <f>RIGHT(Table1[[#This Row],[Department_Region]],LEN(Table1[[#This Row],[Department_Region]]) - FIND("-",Table1[[#This Row],[Department_Region]]))</f>
        <v>Nevada</v>
      </c>
      <c r="Q4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7" s="15"/>
    </row>
    <row r="488" spans="1:18" x14ac:dyDescent="0.2">
      <c r="A488" s="1">
        <v>486</v>
      </c>
      <c r="B488" s="6" t="s">
        <v>893</v>
      </c>
      <c r="C488" t="s">
        <v>32</v>
      </c>
      <c r="D488" t="s">
        <v>38</v>
      </c>
      <c r="E488">
        <v>40</v>
      </c>
      <c r="F488" t="s">
        <v>90</v>
      </c>
      <c r="G488" t="s">
        <v>28</v>
      </c>
      <c r="H488" s="6" t="s">
        <v>437</v>
      </c>
      <c r="I488" s="11">
        <v>98556.29</v>
      </c>
      <c r="J488" t="s">
        <v>143</v>
      </c>
      <c r="K488">
        <v>-8815793762</v>
      </c>
      <c r="L488" t="s">
        <v>41</v>
      </c>
      <c r="M488" t="b">
        <v>1</v>
      </c>
      <c r="N488" s="17">
        <f t="shared" si="7"/>
        <v>45225</v>
      </c>
      <c r="O488" t="str">
        <f>LEFT(Table1[[#This Row],[Department_Region]], FIND("-", Table1[[#This Row],[Department_Region]]) - 1)</f>
        <v>Admin</v>
      </c>
      <c r="P488" t="str">
        <f>RIGHT(Table1[[#This Row],[Department_Region]],LEN(Table1[[#This Row],[Department_Region]]) - FIND("-",Table1[[#This Row],[Department_Region]]))</f>
        <v>Illinois</v>
      </c>
      <c r="Q4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88" s="15"/>
    </row>
    <row r="489" spans="1:18" x14ac:dyDescent="0.2">
      <c r="A489" s="1">
        <v>487</v>
      </c>
      <c r="B489" s="6" t="s">
        <v>894</v>
      </c>
      <c r="C489" t="s">
        <v>37</v>
      </c>
      <c r="D489" t="s">
        <v>20</v>
      </c>
      <c r="E489">
        <v>30</v>
      </c>
      <c r="F489" t="s">
        <v>86</v>
      </c>
      <c r="G489" t="s">
        <v>33</v>
      </c>
      <c r="H489" s="6" t="s">
        <v>1832</v>
      </c>
      <c r="I489" s="11">
        <v>112792.2</v>
      </c>
      <c r="J489" t="s">
        <v>243</v>
      </c>
      <c r="K489">
        <v>-9283692943</v>
      </c>
      <c r="L489" t="s">
        <v>30</v>
      </c>
      <c r="M489" t="b">
        <v>1</v>
      </c>
      <c r="N489" s="17">
        <f t="shared" si="7"/>
        <v>44381</v>
      </c>
      <c r="O489" t="str">
        <f>LEFT(Table1[[#This Row],[Department_Region]], FIND("-", Table1[[#This Row],[Department_Region]]) - 1)</f>
        <v>Cloud Tech</v>
      </c>
      <c r="P489" t="str">
        <f>RIGHT(Table1[[#This Row],[Department_Region]],LEN(Table1[[#This Row],[Department_Region]]) - FIND("-",Table1[[#This Row],[Department_Region]]))</f>
        <v>Nevada</v>
      </c>
      <c r="Q4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89" s="15"/>
    </row>
    <row r="490" spans="1:18" x14ac:dyDescent="0.2">
      <c r="A490" s="1">
        <v>488</v>
      </c>
      <c r="B490" s="6" t="s">
        <v>895</v>
      </c>
      <c r="C490" t="s">
        <v>32</v>
      </c>
      <c r="D490" t="s">
        <v>124</v>
      </c>
      <c r="E490">
        <v>35</v>
      </c>
      <c r="F490" t="s">
        <v>215</v>
      </c>
      <c r="G490" t="s">
        <v>28</v>
      </c>
      <c r="H490" s="6" t="s">
        <v>1833</v>
      </c>
      <c r="I490" s="11">
        <v>56875.22</v>
      </c>
      <c r="J490" t="s">
        <v>529</v>
      </c>
      <c r="K490">
        <v>-5511668296</v>
      </c>
      <c r="L490" t="s">
        <v>41</v>
      </c>
      <c r="M490" t="b">
        <v>0</v>
      </c>
      <c r="N490" s="17">
        <f t="shared" si="7"/>
        <v>45233</v>
      </c>
      <c r="O490" t="str">
        <f>LEFT(Table1[[#This Row],[Department_Region]], FIND("-", Table1[[#This Row],[Department_Region]]) - 1)</f>
        <v>HR</v>
      </c>
      <c r="P490" t="str">
        <f>RIGHT(Table1[[#This Row],[Department_Region]],LEN(Table1[[#This Row],[Department_Region]]) - FIND("-",Table1[[#This Row],[Department_Region]]))</f>
        <v>Florida</v>
      </c>
      <c r="Q4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0" s="15"/>
    </row>
    <row r="491" spans="1:18" x14ac:dyDescent="0.2">
      <c r="A491" s="1">
        <v>489</v>
      </c>
      <c r="B491" s="6" t="s">
        <v>896</v>
      </c>
      <c r="C491" t="s">
        <v>54</v>
      </c>
      <c r="D491" t="s">
        <v>26</v>
      </c>
      <c r="E491">
        <v>35</v>
      </c>
      <c r="F491" t="s">
        <v>233</v>
      </c>
      <c r="G491" t="s">
        <v>33</v>
      </c>
      <c r="H491" s="6" t="s">
        <v>1834</v>
      </c>
      <c r="I491" s="11">
        <v>101015.96</v>
      </c>
      <c r="J491" t="s">
        <v>122</v>
      </c>
      <c r="K491">
        <v>-3270216486</v>
      </c>
      <c r="L491" t="s">
        <v>41</v>
      </c>
      <c r="M491" t="b">
        <v>1</v>
      </c>
      <c r="N491" s="17">
        <f t="shared" si="7"/>
        <v>44382</v>
      </c>
      <c r="O491" t="str">
        <f>LEFT(Table1[[#This Row],[Department_Region]], FIND("-", Table1[[#This Row],[Department_Region]]) - 1)</f>
        <v>DevOps</v>
      </c>
      <c r="P491" t="str">
        <f>RIGHT(Table1[[#This Row],[Department_Region]],LEN(Table1[[#This Row],[Department_Region]]) - FIND("-",Table1[[#This Row],[Department_Region]]))</f>
        <v>Florida</v>
      </c>
      <c r="Q4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1" s="15"/>
    </row>
    <row r="492" spans="1:18" x14ac:dyDescent="0.2">
      <c r="A492" s="1">
        <v>490</v>
      </c>
      <c r="B492" s="6" t="s">
        <v>897</v>
      </c>
      <c r="C492" t="s">
        <v>13</v>
      </c>
      <c r="D492" t="s">
        <v>43</v>
      </c>
      <c r="E492">
        <v>30</v>
      </c>
      <c r="F492" t="s">
        <v>230</v>
      </c>
      <c r="G492" t="s">
        <v>33</v>
      </c>
      <c r="H492" s="6" t="s">
        <v>898</v>
      </c>
      <c r="I492" s="11">
        <v>83912.22</v>
      </c>
      <c r="J492" t="s">
        <v>155</v>
      </c>
      <c r="K492">
        <v>-1206021287</v>
      </c>
      <c r="L492" t="s">
        <v>18</v>
      </c>
      <c r="M492" t="b">
        <v>0</v>
      </c>
      <c r="N492" s="17">
        <f t="shared" si="7"/>
        <v>45348</v>
      </c>
      <c r="O492" t="str">
        <f>LEFT(Table1[[#This Row],[Department_Region]], FIND("-", Table1[[#This Row],[Department_Region]]) - 1)</f>
        <v>Finance</v>
      </c>
      <c r="P492" t="str">
        <f>RIGHT(Table1[[#This Row],[Department_Region]],LEN(Table1[[#This Row],[Department_Region]]) - FIND("-",Table1[[#This Row],[Department_Region]]))</f>
        <v>New York</v>
      </c>
      <c r="Q4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2" s="15"/>
    </row>
    <row r="493" spans="1:18" x14ac:dyDescent="0.2">
      <c r="A493" s="1">
        <v>491</v>
      </c>
      <c r="B493" s="6" t="s">
        <v>899</v>
      </c>
      <c r="C493" t="s">
        <v>37</v>
      </c>
      <c r="D493" t="s">
        <v>26</v>
      </c>
      <c r="E493">
        <v>25</v>
      </c>
      <c r="F493" t="s">
        <v>110</v>
      </c>
      <c r="G493" t="s">
        <v>16</v>
      </c>
      <c r="H493" s="6" t="s">
        <v>900</v>
      </c>
      <c r="I493" s="11">
        <v>99669.86</v>
      </c>
      <c r="J493" t="s">
        <v>47</v>
      </c>
      <c r="K493">
        <v>-6652683414</v>
      </c>
      <c r="L493" t="s">
        <v>18</v>
      </c>
      <c r="M493" t="b">
        <v>0</v>
      </c>
      <c r="N493" s="17">
        <f t="shared" si="7"/>
        <v>44468</v>
      </c>
      <c r="O493" t="str">
        <f>LEFT(Table1[[#This Row],[Department_Region]], FIND("-", Table1[[#This Row],[Department_Region]]) - 1)</f>
        <v>Sales</v>
      </c>
      <c r="P493" t="str">
        <f>RIGHT(Table1[[#This Row],[Department_Region]],LEN(Table1[[#This Row],[Department_Region]]) - FIND("-",Table1[[#This Row],[Department_Region]]))</f>
        <v>New York</v>
      </c>
      <c r="Q4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93" s="15"/>
    </row>
    <row r="494" spans="1:18" x14ac:dyDescent="0.2">
      <c r="A494" s="1">
        <v>492</v>
      </c>
      <c r="B494" s="6" t="s">
        <v>901</v>
      </c>
      <c r="C494" t="s">
        <v>25</v>
      </c>
      <c r="D494" t="s">
        <v>124</v>
      </c>
      <c r="E494">
        <v>30</v>
      </c>
      <c r="F494" t="s">
        <v>199</v>
      </c>
      <c r="G494" t="s">
        <v>16</v>
      </c>
      <c r="H494" s="6" t="s">
        <v>902</v>
      </c>
      <c r="I494" s="11">
        <v>52314.97</v>
      </c>
      <c r="J494" t="s">
        <v>185</v>
      </c>
      <c r="K494">
        <v>-5999101575</v>
      </c>
      <c r="L494" t="s">
        <v>23</v>
      </c>
      <c r="M494" t="b">
        <v>0</v>
      </c>
      <c r="N494" s="17">
        <f t="shared" si="7"/>
        <v>44341</v>
      </c>
      <c r="O494" t="str">
        <f>LEFT(Table1[[#This Row],[Department_Region]], FIND("-", Table1[[#This Row],[Department_Region]]) - 1)</f>
        <v>Admin</v>
      </c>
      <c r="P494" t="str">
        <f>RIGHT(Table1[[#This Row],[Department_Region]],LEN(Table1[[#This Row],[Department_Region]]) - FIND("-",Table1[[#This Row],[Department_Region]]))</f>
        <v>New York</v>
      </c>
      <c r="Q4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4" s="15"/>
    </row>
    <row r="495" spans="1:18" x14ac:dyDescent="0.2">
      <c r="A495" s="1">
        <v>493</v>
      </c>
      <c r="B495" s="6" t="s">
        <v>903</v>
      </c>
      <c r="C495" t="s">
        <v>37</v>
      </c>
      <c r="D495" t="s">
        <v>93</v>
      </c>
      <c r="E495">
        <v>30</v>
      </c>
      <c r="F495" t="s">
        <v>148</v>
      </c>
      <c r="G495" t="s">
        <v>33</v>
      </c>
      <c r="H495" s="6" t="s">
        <v>904</v>
      </c>
      <c r="I495" s="11">
        <v>77785.960000000006</v>
      </c>
      <c r="J495" t="s">
        <v>111</v>
      </c>
      <c r="K495">
        <v>-7647229811</v>
      </c>
      <c r="L495" t="s">
        <v>23</v>
      </c>
      <c r="M495" t="b">
        <v>0</v>
      </c>
      <c r="N495" s="17">
        <f t="shared" si="7"/>
        <v>44865</v>
      </c>
      <c r="O495" t="str">
        <f>LEFT(Table1[[#This Row],[Department_Region]], FIND("-", Table1[[#This Row],[Department_Region]]) - 1)</f>
        <v>HR</v>
      </c>
      <c r="P495" t="str">
        <f>RIGHT(Table1[[#This Row],[Department_Region]],LEN(Table1[[#This Row],[Department_Region]]) - FIND("-",Table1[[#This Row],[Department_Region]]))</f>
        <v>California</v>
      </c>
      <c r="Q4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5" s="15"/>
    </row>
    <row r="496" spans="1:18" x14ac:dyDescent="0.2">
      <c r="A496" s="1">
        <v>494</v>
      </c>
      <c r="B496" s="6" t="s">
        <v>905</v>
      </c>
      <c r="C496" t="s">
        <v>25</v>
      </c>
      <c r="D496" t="s">
        <v>26</v>
      </c>
      <c r="E496">
        <v>30</v>
      </c>
      <c r="F496" t="s">
        <v>215</v>
      </c>
      <c r="G496" t="s">
        <v>28</v>
      </c>
      <c r="H496" s="6" t="s">
        <v>1835</v>
      </c>
      <c r="I496" s="11">
        <v>62430.86</v>
      </c>
      <c r="J496" t="s">
        <v>29</v>
      </c>
      <c r="K496">
        <v>-995765727</v>
      </c>
      <c r="L496" t="s">
        <v>41</v>
      </c>
      <c r="M496" t="b">
        <v>0</v>
      </c>
      <c r="N496" s="17">
        <f t="shared" si="7"/>
        <v>44744</v>
      </c>
      <c r="O496" t="str">
        <f>LEFT(Table1[[#This Row],[Department_Region]], FIND("-", Table1[[#This Row],[Department_Region]]) - 1)</f>
        <v>HR</v>
      </c>
      <c r="P496" t="str">
        <f>RIGHT(Table1[[#This Row],[Department_Region]],LEN(Table1[[#This Row],[Department_Region]]) - FIND("-",Table1[[#This Row],[Department_Region]]))</f>
        <v>Florida</v>
      </c>
      <c r="Q4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6" s="15"/>
    </row>
    <row r="497" spans="1:18" x14ac:dyDescent="0.2">
      <c r="A497" s="1">
        <v>495</v>
      </c>
      <c r="B497" s="6" t="s">
        <v>906</v>
      </c>
      <c r="C497" t="s">
        <v>37</v>
      </c>
      <c r="D497" t="s">
        <v>14</v>
      </c>
      <c r="E497">
        <v>35</v>
      </c>
      <c r="F497" t="s">
        <v>120</v>
      </c>
      <c r="G497" t="s">
        <v>28</v>
      </c>
      <c r="H497" s="6" t="s">
        <v>211</v>
      </c>
      <c r="I497" s="11">
        <v>98219.54</v>
      </c>
      <c r="J497" t="s">
        <v>52</v>
      </c>
      <c r="K497">
        <v>-9413475097</v>
      </c>
      <c r="L497" t="s">
        <v>30</v>
      </c>
      <c r="M497" t="b">
        <v>1</v>
      </c>
      <c r="N497" s="17">
        <f t="shared" si="7"/>
        <v>45532</v>
      </c>
      <c r="O497" t="str">
        <f>LEFT(Table1[[#This Row],[Department_Region]], FIND("-", Table1[[#This Row],[Department_Region]]) - 1)</f>
        <v>Admin</v>
      </c>
      <c r="P497" t="str">
        <f>RIGHT(Table1[[#This Row],[Department_Region]],LEN(Table1[[#This Row],[Department_Region]]) - FIND("-",Table1[[#This Row],[Department_Region]]))</f>
        <v>California</v>
      </c>
      <c r="Q4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497" s="15"/>
    </row>
    <row r="498" spans="1:18" x14ac:dyDescent="0.2">
      <c r="A498" s="1">
        <v>496</v>
      </c>
      <c r="B498" s="6" t="s">
        <v>907</v>
      </c>
      <c r="C498" t="s">
        <v>69</v>
      </c>
      <c r="D498" t="s">
        <v>38</v>
      </c>
      <c r="E498">
        <v>25</v>
      </c>
      <c r="F498" t="s">
        <v>90</v>
      </c>
      <c r="G498" t="s">
        <v>16</v>
      </c>
      <c r="H498" s="6" t="s">
        <v>908</v>
      </c>
      <c r="I498" s="11">
        <v>65494.58</v>
      </c>
      <c r="J498" t="s">
        <v>72</v>
      </c>
      <c r="K498">
        <v>-8986456521</v>
      </c>
      <c r="L498" t="s">
        <v>18</v>
      </c>
      <c r="M498" t="b">
        <v>1</v>
      </c>
      <c r="N498" s="17">
        <f t="shared" si="7"/>
        <v>45586</v>
      </c>
      <c r="O498" t="str">
        <f>LEFT(Table1[[#This Row],[Department_Region]], FIND("-", Table1[[#This Row],[Department_Region]]) - 1)</f>
        <v>Admin</v>
      </c>
      <c r="P498" t="str">
        <f>RIGHT(Table1[[#This Row],[Department_Region]],LEN(Table1[[#This Row],[Department_Region]]) - FIND("-",Table1[[#This Row],[Department_Region]]))</f>
        <v>Illinois</v>
      </c>
      <c r="Q4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8" s="15"/>
    </row>
    <row r="499" spans="1:18" x14ac:dyDescent="0.2">
      <c r="A499" s="1">
        <v>497</v>
      </c>
      <c r="B499" s="6" t="s">
        <v>909</v>
      </c>
      <c r="C499" t="s">
        <v>59</v>
      </c>
      <c r="D499" t="s">
        <v>20</v>
      </c>
      <c r="E499">
        <v>35</v>
      </c>
      <c r="F499" t="s">
        <v>233</v>
      </c>
      <c r="G499" t="s">
        <v>28</v>
      </c>
      <c r="H499" s="6" t="s">
        <v>1836</v>
      </c>
      <c r="I499" s="11">
        <v>110524.1</v>
      </c>
      <c r="J499" t="s">
        <v>228</v>
      </c>
      <c r="K499">
        <v>-368499514</v>
      </c>
      <c r="L499" t="s">
        <v>18</v>
      </c>
      <c r="M499" t="b">
        <v>0</v>
      </c>
      <c r="N499" s="17">
        <f t="shared" si="7"/>
        <v>43872</v>
      </c>
      <c r="O499" t="str">
        <f>LEFT(Table1[[#This Row],[Department_Region]], FIND("-", Table1[[#This Row],[Department_Region]]) - 1)</f>
        <v>DevOps</v>
      </c>
      <c r="P499" t="str">
        <f>RIGHT(Table1[[#This Row],[Department_Region]],LEN(Table1[[#This Row],[Department_Region]]) - FIND("-",Table1[[#This Row],[Department_Region]]))</f>
        <v>Florida</v>
      </c>
      <c r="Q4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499" s="15"/>
    </row>
    <row r="500" spans="1:18" x14ac:dyDescent="0.2">
      <c r="A500" s="1">
        <v>498</v>
      </c>
      <c r="B500" s="6" t="s">
        <v>910</v>
      </c>
      <c r="C500" t="s">
        <v>25</v>
      </c>
      <c r="D500" t="s">
        <v>124</v>
      </c>
      <c r="E500">
        <v>40</v>
      </c>
      <c r="F500" t="s">
        <v>27</v>
      </c>
      <c r="G500" t="s">
        <v>16</v>
      </c>
      <c r="H500" s="6" t="s">
        <v>911</v>
      </c>
      <c r="I500" s="11">
        <v>106060.54</v>
      </c>
      <c r="J500" t="s">
        <v>185</v>
      </c>
      <c r="K500">
        <v>-4214477323</v>
      </c>
      <c r="L500" t="s">
        <v>41</v>
      </c>
      <c r="M500" t="b">
        <v>0</v>
      </c>
      <c r="N500" s="17">
        <f t="shared" si="7"/>
        <v>45062</v>
      </c>
      <c r="O500" t="str">
        <f>LEFT(Table1[[#This Row],[Department_Region]], FIND("-", Table1[[#This Row],[Department_Region]]) - 1)</f>
        <v>Admin</v>
      </c>
      <c r="P500" t="str">
        <f>RIGHT(Table1[[#This Row],[Department_Region]],LEN(Table1[[#This Row],[Department_Region]]) - FIND("-",Table1[[#This Row],[Department_Region]]))</f>
        <v>Nevada</v>
      </c>
      <c r="Q5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00" s="15"/>
    </row>
    <row r="501" spans="1:18" x14ac:dyDescent="0.2">
      <c r="A501" s="1">
        <v>499</v>
      </c>
      <c r="B501" s="6" t="s">
        <v>912</v>
      </c>
      <c r="C501" t="s">
        <v>32</v>
      </c>
      <c r="D501" t="s">
        <v>20</v>
      </c>
      <c r="E501">
        <v>35</v>
      </c>
      <c r="F501" t="s">
        <v>113</v>
      </c>
      <c r="G501" t="s">
        <v>33</v>
      </c>
      <c r="H501" s="6" t="s">
        <v>913</v>
      </c>
      <c r="I501" s="11">
        <v>67639.91</v>
      </c>
      <c r="J501" t="s">
        <v>157</v>
      </c>
      <c r="K501">
        <v>-4913421387</v>
      </c>
      <c r="L501" t="s">
        <v>23</v>
      </c>
      <c r="M501" t="b">
        <v>1</v>
      </c>
      <c r="N501" s="17">
        <f t="shared" si="7"/>
        <v>44771</v>
      </c>
      <c r="O501" t="str">
        <f>LEFT(Table1[[#This Row],[Department_Region]], FIND("-", Table1[[#This Row],[Department_Region]]) - 1)</f>
        <v>Finance</v>
      </c>
      <c r="P501" t="str">
        <f>RIGHT(Table1[[#This Row],[Department_Region]],LEN(Table1[[#This Row],[Department_Region]]) - FIND("-",Table1[[#This Row],[Department_Region]]))</f>
        <v>Florida</v>
      </c>
      <c r="Q5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01" s="15"/>
    </row>
    <row r="502" spans="1:18" x14ac:dyDescent="0.2">
      <c r="A502" s="1">
        <v>500</v>
      </c>
      <c r="B502" s="6" t="s">
        <v>914</v>
      </c>
      <c r="C502" t="s">
        <v>69</v>
      </c>
      <c r="D502" t="s">
        <v>14</v>
      </c>
      <c r="E502">
        <v>32</v>
      </c>
      <c r="F502" t="s">
        <v>161</v>
      </c>
      <c r="G502" t="s">
        <v>28</v>
      </c>
      <c r="H502" s="6" t="s">
        <v>915</v>
      </c>
      <c r="I502" s="11">
        <v>117653.98</v>
      </c>
      <c r="J502" t="s">
        <v>239</v>
      </c>
      <c r="K502">
        <v>-2090883069</v>
      </c>
      <c r="L502" t="s">
        <v>30</v>
      </c>
      <c r="M502" t="b">
        <v>1</v>
      </c>
      <c r="N502" s="17">
        <f t="shared" si="7"/>
        <v>45187</v>
      </c>
      <c r="O502" t="str">
        <f>LEFT(Table1[[#This Row],[Department_Region]], FIND("-", Table1[[#This Row],[Department_Region]]) - 1)</f>
        <v>Cloud Tech</v>
      </c>
      <c r="P502" t="str">
        <f>RIGHT(Table1[[#This Row],[Department_Region]],LEN(Table1[[#This Row],[Department_Region]]) - FIND("-",Table1[[#This Row],[Department_Region]]))</f>
        <v>Texas</v>
      </c>
      <c r="Q5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02" s="15"/>
    </row>
    <row r="503" spans="1:18" x14ac:dyDescent="0.2">
      <c r="A503" s="1">
        <v>501</v>
      </c>
      <c r="B503" s="6" t="s">
        <v>916</v>
      </c>
      <c r="C503" t="s">
        <v>32</v>
      </c>
      <c r="D503" t="s">
        <v>26</v>
      </c>
      <c r="E503">
        <v>35</v>
      </c>
      <c r="F503" t="s">
        <v>241</v>
      </c>
      <c r="G503" t="s">
        <v>33</v>
      </c>
      <c r="H503" s="6" t="s">
        <v>1837</v>
      </c>
      <c r="I503" s="11">
        <v>73539.86</v>
      </c>
      <c r="J503" t="s">
        <v>281</v>
      </c>
      <c r="K503">
        <v>-5349678273</v>
      </c>
      <c r="L503" t="s">
        <v>23</v>
      </c>
      <c r="M503" t="b">
        <v>1</v>
      </c>
      <c r="N503" s="17">
        <f t="shared" si="7"/>
        <v>43961</v>
      </c>
      <c r="O503" t="str">
        <f>LEFT(Table1[[#This Row],[Department_Region]], FIND("-", Table1[[#This Row],[Department_Region]]) - 1)</f>
        <v>DevOps</v>
      </c>
      <c r="P503" t="str">
        <f>RIGHT(Table1[[#This Row],[Department_Region]],LEN(Table1[[#This Row],[Department_Region]]) - FIND("-",Table1[[#This Row],[Department_Region]]))</f>
        <v>Texas</v>
      </c>
      <c r="Q5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03" s="15"/>
    </row>
    <row r="504" spans="1:18" x14ac:dyDescent="0.2">
      <c r="A504" s="1">
        <v>502</v>
      </c>
      <c r="B504" s="6" t="s">
        <v>917</v>
      </c>
      <c r="C504" t="s">
        <v>37</v>
      </c>
      <c r="D504" t="s">
        <v>26</v>
      </c>
      <c r="E504">
        <v>35</v>
      </c>
      <c r="F504" t="s">
        <v>151</v>
      </c>
      <c r="G504" t="s">
        <v>28</v>
      </c>
      <c r="H504" s="6" t="s">
        <v>918</v>
      </c>
      <c r="I504" s="11">
        <v>70915.38</v>
      </c>
      <c r="J504" t="s">
        <v>47</v>
      </c>
      <c r="K504">
        <v>-1176741240</v>
      </c>
      <c r="L504" t="s">
        <v>23</v>
      </c>
      <c r="M504" t="b">
        <v>1</v>
      </c>
      <c r="N504" s="17">
        <f t="shared" si="7"/>
        <v>45165</v>
      </c>
      <c r="O504" t="str">
        <f>LEFT(Table1[[#This Row],[Department_Region]], FIND("-", Table1[[#This Row],[Department_Region]]) - 1)</f>
        <v>HR</v>
      </c>
      <c r="P504" t="str">
        <f>RIGHT(Table1[[#This Row],[Department_Region]],LEN(Table1[[#This Row],[Department_Region]]) - FIND("-",Table1[[#This Row],[Department_Region]]))</f>
        <v>Nevada</v>
      </c>
      <c r="Q5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04" s="15"/>
    </row>
    <row r="505" spans="1:18" x14ac:dyDescent="0.2">
      <c r="A505" s="1">
        <v>503</v>
      </c>
      <c r="B505" s="6" t="s">
        <v>919</v>
      </c>
      <c r="C505" t="s">
        <v>59</v>
      </c>
      <c r="D505" t="s">
        <v>43</v>
      </c>
      <c r="E505">
        <v>25</v>
      </c>
      <c r="F505" t="s">
        <v>75</v>
      </c>
      <c r="G505" t="s">
        <v>28</v>
      </c>
      <c r="H505" s="6" t="s">
        <v>920</v>
      </c>
      <c r="I505" s="11">
        <v>97652.9</v>
      </c>
      <c r="J505" t="s">
        <v>102</v>
      </c>
      <c r="K505">
        <v>-5131528546</v>
      </c>
      <c r="L505" t="s">
        <v>23</v>
      </c>
      <c r="M505" t="b">
        <v>0</v>
      </c>
      <c r="N505" s="17">
        <f t="shared" si="7"/>
        <v>44485</v>
      </c>
      <c r="O505" t="str">
        <f>LEFT(Table1[[#This Row],[Department_Region]], FIND("-", Table1[[#This Row],[Department_Region]]) - 1)</f>
        <v>Sales</v>
      </c>
      <c r="P505" t="str">
        <f>RIGHT(Table1[[#This Row],[Department_Region]],LEN(Table1[[#This Row],[Department_Region]]) - FIND("-",Table1[[#This Row],[Department_Region]]))</f>
        <v>Florida</v>
      </c>
      <c r="Q5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05" s="15"/>
    </row>
    <row r="506" spans="1:18" x14ac:dyDescent="0.2">
      <c r="A506" s="1">
        <v>504</v>
      </c>
      <c r="B506" s="6" t="s">
        <v>921</v>
      </c>
      <c r="C506" t="s">
        <v>65</v>
      </c>
      <c r="D506" t="s">
        <v>14</v>
      </c>
      <c r="E506">
        <v>35</v>
      </c>
      <c r="F506" t="s">
        <v>215</v>
      </c>
      <c r="G506" t="s">
        <v>33</v>
      </c>
      <c r="H506" s="6" t="s">
        <v>1838</v>
      </c>
      <c r="I506" s="11">
        <v>101571.25</v>
      </c>
      <c r="J506" t="s">
        <v>400</v>
      </c>
      <c r="K506">
        <v>-8150618537</v>
      </c>
      <c r="L506" t="s">
        <v>23</v>
      </c>
      <c r="M506" t="b">
        <v>0</v>
      </c>
      <c r="N506" s="17">
        <f t="shared" si="7"/>
        <v>44626</v>
      </c>
      <c r="O506" t="str">
        <f>LEFT(Table1[[#This Row],[Department_Region]], FIND("-", Table1[[#This Row],[Department_Region]]) - 1)</f>
        <v>HR</v>
      </c>
      <c r="P506" t="str">
        <f>RIGHT(Table1[[#This Row],[Department_Region]],LEN(Table1[[#This Row],[Department_Region]]) - FIND("-",Table1[[#This Row],[Department_Region]]))</f>
        <v>Florida</v>
      </c>
      <c r="Q5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06" s="15"/>
    </row>
    <row r="507" spans="1:18" x14ac:dyDescent="0.2">
      <c r="A507" s="1">
        <v>505</v>
      </c>
      <c r="B507" s="6" t="s">
        <v>922</v>
      </c>
      <c r="C507" t="s">
        <v>59</v>
      </c>
      <c r="D507" t="s">
        <v>124</v>
      </c>
      <c r="E507">
        <v>35</v>
      </c>
      <c r="F507" t="s">
        <v>333</v>
      </c>
      <c r="G507" t="s">
        <v>16</v>
      </c>
      <c r="H507" s="6" t="s">
        <v>1839</v>
      </c>
      <c r="I507" s="11">
        <v>87424.46</v>
      </c>
      <c r="J507" t="s">
        <v>346</v>
      </c>
      <c r="K507">
        <v>-32963346</v>
      </c>
      <c r="L507" t="s">
        <v>18</v>
      </c>
      <c r="M507" t="b">
        <v>1</v>
      </c>
      <c r="N507" s="17">
        <f t="shared" si="7"/>
        <v>45236</v>
      </c>
      <c r="O507" t="str">
        <f>LEFT(Table1[[#This Row],[Department_Region]], FIND("-", Table1[[#This Row],[Department_Region]]) - 1)</f>
        <v>DevOps</v>
      </c>
      <c r="P507" t="str">
        <f>RIGHT(Table1[[#This Row],[Department_Region]],LEN(Table1[[#This Row],[Department_Region]]) - FIND("-",Table1[[#This Row],[Department_Region]]))</f>
        <v>Nevada</v>
      </c>
      <c r="Q5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07" s="15"/>
    </row>
    <row r="508" spans="1:18" x14ac:dyDescent="0.2">
      <c r="A508" s="1">
        <v>506</v>
      </c>
      <c r="B508" s="6" t="s">
        <v>923</v>
      </c>
      <c r="C508" t="s">
        <v>37</v>
      </c>
      <c r="D508" t="s">
        <v>43</v>
      </c>
      <c r="E508">
        <v>32</v>
      </c>
      <c r="F508" t="s">
        <v>66</v>
      </c>
      <c r="G508" t="s">
        <v>28</v>
      </c>
      <c r="H508" s="6" t="s">
        <v>924</v>
      </c>
      <c r="I508" s="11">
        <v>89077.36</v>
      </c>
      <c r="J508" t="s">
        <v>183</v>
      </c>
      <c r="K508">
        <v>-2727423182</v>
      </c>
      <c r="L508" t="s">
        <v>18</v>
      </c>
      <c r="M508" t="b">
        <v>0</v>
      </c>
      <c r="N508" s="17">
        <f t="shared" si="7"/>
        <v>45626</v>
      </c>
      <c r="O508" t="str">
        <f>LEFT(Table1[[#This Row],[Department_Region]], FIND("-", Table1[[#This Row],[Department_Region]]) - 1)</f>
        <v>HR</v>
      </c>
      <c r="P508" t="str">
        <f>RIGHT(Table1[[#This Row],[Department_Region]],LEN(Table1[[#This Row],[Department_Region]]) - FIND("-",Table1[[#This Row],[Department_Region]]))</f>
        <v>New York</v>
      </c>
      <c r="Q5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08" s="15"/>
    </row>
    <row r="509" spans="1:18" x14ac:dyDescent="0.2">
      <c r="A509" s="1">
        <v>507</v>
      </c>
      <c r="B509" s="6" t="s">
        <v>925</v>
      </c>
      <c r="C509" t="s">
        <v>65</v>
      </c>
      <c r="D509" t="s">
        <v>38</v>
      </c>
      <c r="E509">
        <v>30</v>
      </c>
      <c r="F509" t="s">
        <v>15</v>
      </c>
      <c r="G509" t="s">
        <v>28</v>
      </c>
      <c r="H509" s="6" t="s">
        <v>926</v>
      </c>
      <c r="I509" s="11">
        <v>89132.22</v>
      </c>
      <c r="J509" t="s">
        <v>67</v>
      </c>
      <c r="K509">
        <v>-617893205</v>
      </c>
      <c r="L509" t="s">
        <v>23</v>
      </c>
      <c r="M509" t="b">
        <v>1</v>
      </c>
      <c r="N509" s="17">
        <f t="shared" si="7"/>
        <v>45486</v>
      </c>
      <c r="O509" t="str">
        <f>LEFT(Table1[[#This Row],[Department_Region]], FIND("-", Table1[[#This Row],[Department_Region]]) - 1)</f>
        <v>DevOps</v>
      </c>
      <c r="P509" t="str">
        <f>RIGHT(Table1[[#This Row],[Department_Region]],LEN(Table1[[#This Row],[Department_Region]]) - FIND("-",Table1[[#This Row],[Department_Region]]))</f>
        <v>California</v>
      </c>
      <c r="Q5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09" s="15"/>
    </row>
    <row r="510" spans="1:18" x14ac:dyDescent="0.2">
      <c r="A510" s="1">
        <v>508</v>
      </c>
      <c r="B510" s="6" t="s">
        <v>927</v>
      </c>
      <c r="C510" t="s">
        <v>37</v>
      </c>
      <c r="D510" t="s">
        <v>43</v>
      </c>
      <c r="E510">
        <v>25</v>
      </c>
      <c r="F510" t="s">
        <v>120</v>
      </c>
      <c r="G510" t="s">
        <v>16</v>
      </c>
      <c r="H510" s="6" t="s">
        <v>1840</v>
      </c>
      <c r="I510" s="11">
        <v>111000.26</v>
      </c>
      <c r="J510" t="s">
        <v>183</v>
      </c>
      <c r="K510">
        <v>-4969357823</v>
      </c>
      <c r="L510" t="s">
        <v>30</v>
      </c>
      <c r="M510" t="b">
        <v>0</v>
      </c>
      <c r="N510" s="17">
        <f t="shared" si="7"/>
        <v>45355</v>
      </c>
      <c r="O510" t="str">
        <f>LEFT(Table1[[#This Row],[Department_Region]], FIND("-", Table1[[#This Row],[Department_Region]]) - 1)</f>
        <v>Admin</v>
      </c>
      <c r="P510" t="str">
        <f>RIGHT(Table1[[#This Row],[Department_Region]],LEN(Table1[[#This Row],[Department_Region]]) - FIND("-",Table1[[#This Row],[Department_Region]]))</f>
        <v>California</v>
      </c>
      <c r="Q5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10" s="15"/>
    </row>
    <row r="511" spans="1:18" x14ac:dyDescent="0.2">
      <c r="A511" s="1">
        <v>509</v>
      </c>
      <c r="B511" s="6" t="s">
        <v>928</v>
      </c>
      <c r="C511" t="s">
        <v>37</v>
      </c>
      <c r="D511" t="s">
        <v>55</v>
      </c>
      <c r="E511">
        <v>35</v>
      </c>
      <c r="F511" t="s">
        <v>195</v>
      </c>
      <c r="G511" t="s">
        <v>33</v>
      </c>
      <c r="H511" s="6" t="s">
        <v>1841</v>
      </c>
      <c r="I511" s="11">
        <v>109584.97</v>
      </c>
      <c r="J511" t="s">
        <v>275</v>
      </c>
      <c r="K511">
        <v>-3477695873</v>
      </c>
      <c r="L511" t="s">
        <v>41</v>
      </c>
      <c r="M511" t="b">
        <v>1</v>
      </c>
      <c r="N511" s="17">
        <f t="shared" si="7"/>
        <v>44780</v>
      </c>
      <c r="O511" t="str">
        <f>LEFT(Table1[[#This Row],[Department_Region]], FIND("-", Table1[[#This Row],[Department_Region]]) - 1)</f>
        <v>HR</v>
      </c>
      <c r="P511" t="str">
        <f>RIGHT(Table1[[#This Row],[Department_Region]],LEN(Table1[[#This Row],[Department_Region]]) - FIND("-",Table1[[#This Row],[Department_Region]]))</f>
        <v>Illinois</v>
      </c>
      <c r="Q5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11" s="15"/>
    </row>
    <row r="512" spans="1:18" x14ac:dyDescent="0.2">
      <c r="A512" s="1">
        <v>510</v>
      </c>
      <c r="B512" s="6" t="s">
        <v>929</v>
      </c>
      <c r="C512" t="s">
        <v>13</v>
      </c>
      <c r="D512" t="s">
        <v>124</v>
      </c>
      <c r="E512">
        <v>40</v>
      </c>
      <c r="F512" t="s">
        <v>90</v>
      </c>
      <c r="G512" t="s">
        <v>16</v>
      </c>
      <c r="H512" s="6" t="s">
        <v>890</v>
      </c>
      <c r="I512" s="11">
        <v>97648.84</v>
      </c>
      <c r="J512" t="s">
        <v>125</v>
      </c>
      <c r="K512">
        <v>-1314675360</v>
      </c>
      <c r="L512" t="s">
        <v>30</v>
      </c>
      <c r="M512" t="b">
        <v>0</v>
      </c>
      <c r="N512" s="17">
        <f t="shared" si="7"/>
        <v>45607</v>
      </c>
      <c r="O512" t="str">
        <f>LEFT(Table1[[#This Row],[Department_Region]], FIND("-", Table1[[#This Row],[Department_Region]]) - 1)</f>
        <v>Admin</v>
      </c>
      <c r="P512" t="str">
        <f>RIGHT(Table1[[#This Row],[Department_Region]],LEN(Table1[[#This Row],[Department_Region]]) - FIND("-",Table1[[#This Row],[Department_Region]]))</f>
        <v>Illinois</v>
      </c>
      <c r="Q5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12" s="15"/>
    </row>
    <row r="513" spans="1:18" x14ac:dyDescent="0.2">
      <c r="A513" s="1">
        <v>511</v>
      </c>
      <c r="B513" s="6" t="s">
        <v>930</v>
      </c>
      <c r="C513" t="s">
        <v>69</v>
      </c>
      <c r="D513" t="s">
        <v>55</v>
      </c>
      <c r="E513">
        <v>25</v>
      </c>
      <c r="F513" t="s">
        <v>199</v>
      </c>
      <c r="G513" t="s">
        <v>16</v>
      </c>
      <c r="H513" s="6" t="s">
        <v>1842</v>
      </c>
      <c r="I513" s="11">
        <v>78643.429999999993</v>
      </c>
      <c r="J513" t="s">
        <v>129</v>
      </c>
      <c r="K513">
        <v>-2751562778</v>
      </c>
      <c r="L513" t="s">
        <v>30</v>
      </c>
      <c r="M513" t="b">
        <v>1</v>
      </c>
      <c r="N513" s="17">
        <f t="shared" si="7"/>
        <v>44532</v>
      </c>
      <c r="O513" t="str">
        <f>LEFT(Table1[[#This Row],[Department_Region]], FIND("-", Table1[[#This Row],[Department_Region]]) - 1)</f>
        <v>Admin</v>
      </c>
      <c r="P513" t="str">
        <f>RIGHT(Table1[[#This Row],[Department_Region]],LEN(Table1[[#This Row],[Department_Region]]) - FIND("-",Table1[[#This Row],[Department_Region]]))</f>
        <v>New York</v>
      </c>
      <c r="Q5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13" s="15"/>
    </row>
    <row r="514" spans="1:18" x14ac:dyDescent="0.2">
      <c r="A514" s="1">
        <v>512</v>
      </c>
      <c r="B514" s="6" t="s">
        <v>931</v>
      </c>
      <c r="C514" t="s">
        <v>65</v>
      </c>
      <c r="D514" t="s">
        <v>14</v>
      </c>
      <c r="E514">
        <v>30</v>
      </c>
      <c r="F514" t="s">
        <v>151</v>
      </c>
      <c r="G514" t="s">
        <v>16</v>
      </c>
      <c r="H514" s="6" t="s">
        <v>932</v>
      </c>
      <c r="I514" s="11">
        <v>55656.800000000003</v>
      </c>
      <c r="J514" t="s">
        <v>400</v>
      </c>
      <c r="K514">
        <v>-6304483607</v>
      </c>
      <c r="L514" t="s">
        <v>30</v>
      </c>
      <c r="M514" t="b">
        <v>1</v>
      </c>
      <c r="N514" s="17">
        <f t="shared" ref="N514:N577" si="8">IF(ISNUMBER(H514), H514, DATE(RIGHT(H514, 4), LEFT(H514, FIND("/", H514) - 1), MID(H514, FIND("/", H514) + 1, FIND("/", H514, FIND("/", H514) + 1) - FIND("/", H514) - 1)))</f>
        <v>45426</v>
      </c>
      <c r="O514" t="str">
        <f>LEFT(Table1[[#This Row],[Department_Region]], FIND("-", Table1[[#This Row],[Department_Region]]) - 1)</f>
        <v>HR</v>
      </c>
      <c r="P514" t="str">
        <f>RIGHT(Table1[[#This Row],[Department_Region]],LEN(Table1[[#This Row],[Department_Region]]) - FIND("-",Table1[[#This Row],[Department_Region]]))</f>
        <v>Nevada</v>
      </c>
      <c r="Q5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14" s="15"/>
    </row>
    <row r="515" spans="1:18" x14ac:dyDescent="0.2">
      <c r="A515" s="1">
        <v>513</v>
      </c>
      <c r="B515" s="6" t="s">
        <v>933</v>
      </c>
      <c r="C515" t="s">
        <v>54</v>
      </c>
      <c r="D515" t="s">
        <v>93</v>
      </c>
      <c r="E515">
        <v>35</v>
      </c>
      <c r="F515" t="s">
        <v>241</v>
      </c>
      <c r="G515" t="s">
        <v>16</v>
      </c>
      <c r="H515" s="6" t="s">
        <v>934</v>
      </c>
      <c r="I515" s="11">
        <v>69146.95</v>
      </c>
      <c r="J515" t="s">
        <v>508</v>
      </c>
      <c r="K515">
        <v>-5456676639</v>
      </c>
      <c r="L515" t="s">
        <v>23</v>
      </c>
      <c r="M515" t="b">
        <v>0</v>
      </c>
      <c r="N515" s="17">
        <f t="shared" si="8"/>
        <v>44756</v>
      </c>
      <c r="O515" t="str">
        <f>LEFT(Table1[[#This Row],[Department_Region]], FIND("-", Table1[[#This Row],[Department_Region]]) - 1)</f>
        <v>DevOps</v>
      </c>
      <c r="P515" t="str">
        <f>RIGHT(Table1[[#This Row],[Department_Region]],LEN(Table1[[#This Row],[Department_Region]]) - FIND("-",Table1[[#This Row],[Department_Region]]))</f>
        <v>Texas</v>
      </c>
      <c r="Q5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15" s="15"/>
    </row>
    <row r="516" spans="1:18" x14ac:dyDescent="0.2">
      <c r="A516" s="1">
        <v>514</v>
      </c>
      <c r="B516" s="6" t="s">
        <v>935</v>
      </c>
      <c r="C516" t="s">
        <v>54</v>
      </c>
      <c r="D516" t="s">
        <v>55</v>
      </c>
      <c r="E516">
        <v>32</v>
      </c>
      <c r="F516" t="s">
        <v>208</v>
      </c>
      <c r="G516" t="s">
        <v>16</v>
      </c>
      <c r="H516" s="6" t="s">
        <v>936</v>
      </c>
      <c r="I516" s="11">
        <v>93013.58</v>
      </c>
      <c r="J516" t="s">
        <v>57</v>
      </c>
      <c r="K516">
        <v>-4735047638</v>
      </c>
      <c r="L516" t="s">
        <v>18</v>
      </c>
      <c r="M516" t="b">
        <v>1</v>
      </c>
      <c r="N516" s="17">
        <f t="shared" si="8"/>
        <v>44096</v>
      </c>
      <c r="O516" t="str">
        <f>LEFT(Table1[[#This Row],[Department_Region]], FIND("-", Table1[[#This Row],[Department_Region]]) - 1)</f>
        <v>Admin</v>
      </c>
      <c r="P516" t="str">
        <f>RIGHT(Table1[[#This Row],[Department_Region]],LEN(Table1[[#This Row],[Department_Region]]) - FIND("-",Table1[[#This Row],[Department_Region]]))</f>
        <v>Florida</v>
      </c>
      <c r="Q5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16" s="15"/>
    </row>
    <row r="517" spans="1:18" x14ac:dyDescent="0.2">
      <c r="A517" s="1">
        <v>515</v>
      </c>
      <c r="B517" s="6" t="s">
        <v>937</v>
      </c>
      <c r="C517" t="s">
        <v>69</v>
      </c>
      <c r="D517" t="s">
        <v>38</v>
      </c>
      <c r="E517">
        <v>40</v>
      </c>
      <c r="F517" t="s">
        <v>113</v>
      </c>
      <c r="G517" t="s">
        <v>16</v>
      </c>
      <c r="H517" s="6" t="s">
        <v>841</v>
      </c>
      <c r="I517" s="11">
        <v>87364.78</v>
      </c>
      <c r="J517" t="s">
        <v>72</v>
      </c>
      <c r="K517">
        <v>-2831995297</v>
      </c>
      <c r="L517" t="s">
        <v>30</v>
      </c>
      <c r="M517" t="b">
        <v>0</v>
      </c>
      <c r="N517" s="17">
        <f t="shared" si="8"/>
        <v>43908</v>
      </c>
      <c r="O517" t="str">
        <f>LEFT(Table1[[#This Row],[Department_Region]], FIND("-", Table1[[#This Row],[Department_Region]]) - 1)</f>
        <v>Finance</v>
      </c>
      <c r="P517" t="str">
        <f>RIGHT(Table1[[#This Row],[Department_Region]],LEN(Table1[[#This Row],[Department_Region]]) - FIND("-",Table1[[#This Row],[Department_Region]]))</f>
        <v>Florida</v>
      </c>
      <c r="Q5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17" s="15"/>
    </row>
    <row r="518" spans="1:18" x14ac:dyDescent="0.2">
      <c r="A518" s="1">
        <v>516</v>
      </c>
      <c r="B518" s="6" t="s">
        <v>938</v>
      </c>
      <c r="C518" t="s">
        <v>25</v>
      </c>
      <c r="D518" t="s">
        <v>43</v>
      </c>
      <c r="E518">
        <v>35</v>
      </c>
      <c r="F518" t="s">
        <v>110</v>
      </c>
      <c r="G518" t="s">
        <v>16</v>
      </c>
      <c r="H518" s="6" t="s">
        <v>461</v>
      </c>
      <c r="I518" s="11">
        <v>50288.67</v>
      </c>
      <c r="J518" t="s">
        <v>45</v>
      </c>
      <c r="K518">
        <v>-61558107</v>
      </c>
      <c r="L518" t="s">
        <v>23</v>
      </c>
      <c r="M518" t="b">
        <v>0</v>
      </c>
      <c r="N518" s="17">
        <f t="shared" si="8"/>
        <v>45216</v>
      </c>
      <c r="O518" t="str">
        <f>LEFT(Table1[[#This Row],[Department_Region]], FIND("-", Table1[[#This Row],[Department_Region]]) - 1)</f>
        <v>Sales</v>
      </c>
      <c r="P518" t="str">
        <f>RIGHT(Table1[[#This Row],[Department_Region]],LEN(Table1[[#This Row],[Department_Region]]) - FIND("-",Table1[[#This Row],[Department_Region]]))</f>
        <v>New York</v>
      </c>
      <c r="Q5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18" s="15"/>
    </row>
    <row r="519" spans="1:18" x14ac:dyDescent="0.2">
      <c r="A519" s="1">
        <v>517</v>
      </c>
      <c r="B519" s="6" t="s">
        <v>939</v>
      </c>
      <c r="C519" t="s">
        <v>59</v>
      </c>
      <c r="D519" t="s">
        <v>93</v>
      </c>
      <c r="E519">
        <v>35</v>
      </c>
      <c r="F519" t="s">
        <v>66</v>
      </c>
      <c r="G519" t="s">
        <v>16</v>
      </c>
      <c r="H519" s="6" t="s">
        <v>940</v>
      </c>
      <c r="I519" s="11">
        <v>85233.55</v>
      </c>
      <c r="J519" t="s">
        <v>108</v>
      </c>
      <c r="K519">
        <v>-3583286341</v>
      </c>
      <c r="L519" t="s">
        <v>30</v>
      </c>
      <c r="M519" t="b">
        <v>1</v>
      </c>
      <c r="N519" s="17">
        <f t="shared" si="8"/>
        <v>44616</v>
      </c>
      <c r="O519" t="str">
        <f>LEFT(Table1[[#This Row],[Department_Region]], FIND("-", Table1[[#This Row],[Department_Region]]) - 1)</f>
        <v>HR</v>
      </c>
      <c r="P519" t="str">
        <f>RIGHT(Table1[[#This Row],[Department_Region]],LEN(Table1[[#This Row],[Department_Region]]) - FIND("-",Table1[[#This Row],[Department_Region]]))</f>
        <v>New York</v>
      </c>
      <c r="Q5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19" s="15"/>
    </row>
    <row r="520" spans="1:18" x14ac:dyDescent="0.2">
      <c r="A520" s="1">
        <v>518</v>
      </c>
      <c r="B520" s="6" t="s">
        <v>941</v>
      </c>
      <c r="C520" t="s">
        <v>13</v>
      </c>
      <c r="D520" t="s">
        <v>43</v>
      </c>
      <c r="E520">
        <v>25</v>
      </c>
      <c r="F520" t="s">
        <v>148</v>
      </c>
      <c r="G520" t="s">
        <v>33</v>
      </c>
      <c r="H520" s="6" t="s">
        <v>942</v>
      </c>
      <c r="I520" s="11">
        <v>86420.19</v>
      </c>
      <c r="J520" t="s">
        <v>155</v>
      </c>
      <c r="K520">
        <v>-5563830007</v>
      </c>
      <c r="L520" t="s">
        <v>30</v>
      </c>
      <c r="M520" t="b">
        <v>0</v>
      </c>
      <c r="N520" s="17">
        <f t="shared" si="8"/>
        <v>45321</v>
      </c>
      <c r="O520" t="str">
        <f>LEFT(Table1[[#This Row],[Department_Region]], FIND("-", Table1[[#This Row],[Department_Region]]) - 1)</f>
        <v>HR</v>
      </c>
      <c r="P520" t="str">
        <f>RIGHT(Table1[[#This Row],[Department_Region]],LEN(Table1[[#This Row],[Department_Region]]) - FIND("-",Table1[[#This Row],[Department_Region]]))</f>
        <v>California</v>
      </c>
      <c r="Q5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20" s="15"/>
    </row>
    <row r="521" spans="1:18" x14ac:dyDescent="0.2">
      <c r="A521" s="1">
        <v>519</v>
      </c>
      <c r="B521" s="6" t="s">
        <v>943</v>
      </c>
      <c r="C521" t="s">
        <v>69</v>
      </c>
      <c r="D521" t="s">
        <v>55</v>
      </c>
      <c r="E521">
        <v>30</v>
      </c>
      <c r="F521" t="s">
        <v>215</v>
      </c>
      <c r="G521" t="s">
        <v>33</v>
      </c>
      <c r="H521" s="6" t="s">
        <v>944</v>
      </c>
      <c r="I521" s="11">
        <v>63189.82</v>
      </c>
      <c r="J521" t="s">
        <v>129</v>
      </c>
      <c r="K521">
        <v>-1867024402</v>
      </c>
      <c r="L521" t="s">
        <v>23</v>
      </c>
      <c r="M521" t="b">
        <v>0</v>
      </c>
      <c r="N521" s="17">
        <f t="shared" si="8"/>
        <v>45367</v>
      </c>
      <c r="O521" t="str">
        <f>LEFT(Table1[[#This Row],[Department_Region]], FIND("-", Table1[[#This Row],[Department_Region]]) - 1)</f>
        <v>HR</v>
      </c>
      <c r="P521" t="str">
        <f>RIGHT(Table1[[#This Row],[Department_Region]],LEN(Table1[[#This Row],[Department_Region]]) - FIND("-",Table1[[#This Row],[Department_Region]]))</f>
        <v>Florida</v>
      </c>
      <c r="Q5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21" s="15"/>
    </row>
    <row r="522" spans="1:18" x14ac:dyDescent="0.2">
      <c r="A522" s="1">
        <v>520</v>
      </c>
      <c r="B522" s="6" t="s">
        <v>945</v>
      </c>
      <c r="C522" t="s">
        <v>69</v>
      </c>
      <c r="D522" t="s">
        <v>43</v>
      </c>
      <c r="E522">
        <v>25</v>
      </c>
      <c r="F522" t="s">
        <v>199</v>
      </c>
      <c r="G522" t="s">
        <v>28</v>
      </c>
      <c r="H522" s="6" t="s">
        <v>946</v>
      </c>
      <c r="I522" s="11">
        <v>64783.32</v>
      </c>
      <c r="J522" t="s">
        <v>84</v>
      </c>
      <c r="K522">
        <v>-3041662410</v>
      </c>
      <c r="L522" t="s">
        <v>18</v>
      </c>
      <c r="M522" t="b">
        <v>0</v>
      </c>
      <c r="N522" s="17">
        <f t="shared" si="8"/>
        <v>44099</v>
      </c>
      <c r="O522" t="str">
        <f>LEFT(Table1[[#This Row],[Department_Region]], FIND("-", Table1[[#This Row],[Department_Region]]) - 1)</f>
        <v>Admin</v>
      </c>
      <c r="P522" t="str">
        <f>RIGHT(Table1[[#This Row],[Department_Region]],LEN(Table1[[#This Row],[Department_Region]]) - FIND("-",Table1[[#This Row],[Department_Region]]))</f>
        <v>New York</v>
      </c>
      <c r="Q5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22" s="15"/>
    </row>
    <row r="523" spans="1:18" x14ac:dyDescent="0.2">
      <c r="A523" s="1">
        <v>521</v>
      </c>
      <c r="B523" s="6" t="s">
        <v>947</v>
      </c>
      <c r="C523" t="s">
        <v>54</v>
      </c>
      <c r="D523" t="s">
        <v>14</v>
      </c>
      <c r="E523">
        <v>25</v>
      </c>
      <c r="F523" t="s">
        <v>151</v>
      </c>
      <c r="G523" t="s">
        <v>28</v>
      </c>
      <c r="H523" s="6" t="s">
        <v>1682</v>
      </c>
      <c r="I523" s="11">
        <v>52615.44</v>
      </c>
      <c r="J523" t="s">
        <v>173</v>
      </c>
      <c r="K523">
        <v>-1860089218</v>
      </c>
      <c r="L523" t="s">
        <v>18</v>
      </c>
      <c r="M523" t="b">
        <v>0</v>
      </c>
      <c r="N523" s="17">
        <f t="shared" si="8"/>
        <v>45453</v>
      </c>
      <c r="O523" t="str">
        <f>LEFT(Table1[[#This Row],[Department_Region]], FIND("-", Table1[[#This Row],[Department_Region]]) - 1)</f>
        <v>HR</v>
      </c>
      <c r="P523" t="str">
        <f>RIGHT(Table1[[#This Row],[Department_Region]],LEN(Table1[[#This Row],[Department_Region]]) - FIND("-",Table1[[#This Row],[Department_Region]]))</f>
        <v>Nevada</v>
      </c>
      <c r="Q5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23" s="15"/>
    </row>
    <row r="524" spans="1:18" x14ac:dyDescent="0.2">
      <c r="A524" s="1">
        <v>522</v>
      </c>
      <c r="B524" s="6" t="s">
        <v>948</v>
      </c>
      <c r="C524" t="s">
        <v>32</v>
      </c>
      <c r="D524" t="s">
        <v>93</v>
      </c>
      <c r="E524">
        <v>32</v>
      </c>
      <c r="F524" t="s">
        <v>44</v>
      </c>
      <c r="G524" t="s">
        <v>28</v>
      </c>
      <c r="H524" s="6" t="s">
        <v>1843</v>
      </c>
      <c r="I524" s="11">
        <v>96337.89</v>
      </c>
      <c r="J524" t="s">
        <v>267</v>
      </c>
      <c r="K524">
        <v>-6394568043</v>
      </c>
      <c r="L524" t="s">
        <v>41</v>
      </c>
      <c r="M524" t="b">
        <v>0</v>
      </c>
      <c r="N524" s="17">
        <f t="shared" si="8"/>
        <v>43929</v>
      </c>
      <c r="O524" t="str">
        <f>LEFT(Table1[[#This Row],[Department_Region]], FIND("-", Table1[[#This Row],[Department_Region]]) - 1)</f>
        <v>Sales</v>
      </c>
      <c r="P524" t="str">
        <f>RIGHT(Table1[[#This Row],[Department_Region]],LEN(Table1[[#This Row],[Department_Region]]) - FIND("-",Table1[[#This Row],[Department_Region]]))</f>
        <v>Texas</v>
      </c>
      <c r="Q5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24" s="15"/>
    </row>
    <row r="525" spans="1:18" x14ac:dyDescent="0.2">
      <c r="A525" s="1">
        <v>523</v>
      </c>
      <c r="B525" s="6" t="s">
        <v>949</v>
      </c>
      <c r="C525" t="s">
        <v>25</v>
      </c>
      <c r="D525" t="s">
        <v>14</v>
      </c>
      <c r="E525">
        <v>25</v>
      </c>
      <c r="F525" t="s">
        <v>241</v>
      </c>
      <c r="G525" t="s">
        <v>33</v>
      </c>
      <c r="H525" s="6" t="s">
        <v>950</v>
      </c>
      <c r="I525" s="11">
        <v>76617.759999999995</v>
      </c>
      <c r="J525" t="s">
        <v>165</v>
      </c>
      <c r="K525">
        <v>-7314976460</v>
      </c>
      <c r="L525" t="s">
        <v>23</v>
      </c>
      <c r="M525" t="b">
        <v>1</v>
      </c>
      <c r="N525" s="17">
        <f t="shared" si="8"/>
        <v>44740</v>
      </c>
      <c r="O525" t="str">
        <f>LEFT(Table1[[#This Row],[Department_Region]], FIND("-", Table1[[#This Row],[Department_Region]]) - 1)</f>
        <v>DevOps</v>
      </c>
      <c r="P525" t="str">
        <f>RIGHT(Table1[[#This Row],[Department_Region]],LEN(Table1[[#This Row],[Department_Region]]) - FIND("-",Table1[[#This Row],[Department_Region]]))</f>
        <v>Texas</v>
      </c>
      <c r="Q5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25" s="15"/>
    </row>
    <row r="526" spans="1:18" x14ac:dyDescent="0.2">
      <c r="A526" s="1">
        <v>524</v>
      </c>
      <c r="B526" s="6" t="s">
        <v>951</v>
      </c>
      <c r="C526" t="s">
        <v>65</v>
      </c>
      <c r="D526" t="s">
        <v>55</v>
      </c>
      <c r="E526">
        <v>30</v>
      </c>
      <c r="F526" t="s">
        <v>27</v>
      </c>
      <c r="G526" t="s">
        <v>28</v>
      </c>
      <c r="H526" s="6" t="s">
        <v>952</v>
      </c>
      <c r="I526" s="11">
        <v>50651.32</v>
      </c>
      <c r="J526" t="s">
        <v>114</v>
      </c>
      <c r="K526">
        <v>-3684748835</v>
      </c>
      <c r="L526" t="s">
        <v>41</v>
      </c>
      <c r="M526" t="b">
        <v>0</v>
      </c>
      <c r="N526" s="17">
        <f t="shared" si="8"/>
        <v>45121</v>
      </c>
      <c r="O526" t="str">
        <f>LEFT(Table1[[#This Row],[Department_Region]], FIND("-", Table1[[#This Row],[Department_Region]]) - 1)</f>
        <v>Admin</v>
      </c>
      <c r="P526" t="str">
        <f>RIGHT(Table1[[#This Row],[Department_Region]],LEN(Table1[[#This Row],[Department_Region]]) - FIND("-",Table1[[#This Row],[Department_Region]]))</f>
        <v>Nevada</v>
      </c>
      <c r="Q5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26" s="15"/>
    </row>
    <row r="527" spans="1:18" x14ac:dyDescent="0.2">
      <c r="A527" s="1">
        <v>525</v>
      </c>
      <c r="B527" s="6" t="s">
        <v>953</v>
      </c>
      <c r="C527" t="s">
        <v>13</v>
      </c>
      <c r="D527" t="s">
        <v>14</v>
      </c>
      <c r="E527">
        <v>32</v>
      </c>
      <c r="F527" t="s">
        <v>195</v>
      </c>
      <c r="G527" t="s">
        <v>28</v>
      </c>
      <c r="H527" s="6" t="s">
        <v>1844</v>
      </c>
      <c r="I527" s="11">
        <v>59601.45</v>
      </c>
      <c r="J527" t="s">
        <v>17</v>
      </c>
      <c r="K527">
        <v>-765817389</v>
      </c>
      <c r="L527" t="s">
        <v>41</v>
      </c>
      <c r="M527" t="b">
        <v>0</v>
      </c>
      <c r="N527" s="17">
        <f t="shared" si="8"/>
        <v>45266</v>
      </c>
      <c r="O527" t="str">
        <f>LEFT(Table1[[#This Row],[Department_Region]], FIND("-", Table1[[#This Row],[Department_Region]]) - 1)</f>
        <v>HR</v>
      </c>
      <c r="P527" t="str">
        <f>RIGHT(Table1[[#This Row],[Department_Region]],LEN(Table1[[#This Row],[Department_Region]]) - FIND("-",Table1[[#This Row],[Department_Region]]))</f>
        <v>Illinois</v>
      </c>
      <c r="Q5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27" s="15"/>
    </row>
    <row r="528" spans="1:18" x14ac:dyDescent="0.2">
      <c r="A528" s="1">
        <v>526</v>
      </c>
      <c r="B528" s="6" t="s">
        <v>954</v>
      </c>
      <c r="C528" t="s">
        <v>13</v>
      </c>
      <c r="D528" t="s">
        <v>38</v>
      </c>
      <c r="E528">
        <v>32</v>
      </c>
      <c r="F528" t="s">
        <v>79</v>
      </c>
      <c r="G528" t="s">
        <v>16</v>
      </c>
      <c r="H528" s="6" t="s">
        <v>1845</v>
      </c>
      <c r="I528" s="11">
        <v>57980.88</v>
      </c>
      <c r="J528" t="s">
        <v>146</v>
      </c>
      <c r="K528">
        <v>-6375791451</v>
      </c>
      <c r="L528" t="s">
        <v>41</v>
      </c>
      <c r="M528" t="b">
        <v>0</v>
      </c>
      <c r="N528" s="17">
        <f t="shared" si="8"/>
        <v>44409</v>
      </c>
      <c r="O528" t="str">
        <f>LEFT(Table1[[#This Row],[Department_Region]], FIND("-", Table1[[#This Row],[Department_Region]]) - 1)</f>
        <v>DevOps</v>
      </c>
      <c r="P528" t="str">
        <f>RIGHT(Table1[[#This Row],[Department_Region]],LEN(Table1[[#This Row],[Department_Region]]) - FIND("-",Table1[[#This Row],[Department_Region]]))</f>
        <v>Illinois</v>
      </c>
      <c r="Q5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28" s="15"/>
    </row>
    <row r="529" spans="1:18" x14ac:dyDescent="0.2">
      <c r="A529" s="1">
        <v>527</v>
      </c>
      <c r="B529" s="6" t="s">
        <v>955</v>
      </c>
      <c r="C529" t="s">
        <v>59</v>
      </c>
      <c r="D529" t="s">
        <v>55</v>
      </c>
      <c r="E529">
        <v>32</v>
      </c>
      <c r="F529" t="s">
        <v>120</v>
      </c>
      <c r="G529" t="s">
        <v>28</v>
      </c>
      <c r="H529" s="6" t="s">
        <v>956</v>
      </c>
      <c r="I529" s="11">
        <v>75054.53</v>
      </c>
      <c r="J529" t="s">
        <v>220</v>
      </c>
      <c r="K529">
        <v>-1182379311</v>
      </c>
      <c r="L529" t="s">
        <v>18</v>
      </c>
      <c r="M529" t="b">
        <v>0</v>
      </c>
      <c r="N529" s="17">
        <f t="shared" si="8"/>
        <v>44244</v>
      </c>
      <c r="O529" t="str">
        <f>LEFT(Table1[[#This Row],[Department_Region]], FIND("-", Table1[[#This Row],[Department_Region]]) - 1)</f>
        <v>Admin</v>
      </c>
      <c r="P529" t="str">
        <f>RIGHT(Table1[[#This Row],[Department_Region]],LEN(Table1[[#This Row],[Department_Region]]) - FIND("-",Table1[[#This Row],[Department_Region]]))</f>
        <v>California</v>
      </c>
      <c r="Q5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29" s="15"/>
    </row>
    <row r="530" spans="1:18" x14ac:dyDescent="0.2">
      <c r="A530" s="1">
        <v>528</v>
      </c>
      <c r="B530" s="6" t="s">
        <v>957</v>
      </c>
      <c r="C530" t="s">
        <v>54</v>
      </c>
      <c r="D530" t="s">
        <v>55</v>
      </c>
      <c r="E530">
        <v>25</v>
      </c>
      <c r="F530" t="s">
        <v>75</v>
      </c>
      <c r="G530" t="s">
        <v>16</v>
      </c>
      <c r="H530" s="6" t="s">
        <v>958</v>
      </c>
      <c r="I530" s="11">
        <v>115318.7</v>
      </c>
      <c r="J530" t="s">
        <v>57</v>
      </c>
      <c r="K530">
        <v>-6978930745</v>
      </c>
      <c r="L530" t="s">
        <v>23</v>
      </c>
      <c r="M530" t="b">
        <v>0</v>
      </c>
      <c r="N530" s="17">
        <f t="shared" si="8"/>
        <v>45240</v>
      </c>
      <c r="O530" t="str">
        <f>LEFT(Table1[[#This Row],[Department_Region]], FIND("-", Table1[[#This Row],[Department_Region]]) - 1)</f>
        <v>Sales</v>
      </c>
      <c r="P530" t="str">
        <f>RIGHT(Table1[[#This Row],[Department_Region]],LEN(Table1[[#This Row],[Department_Region]]) - FIND("-",Table1[[#This Row],[Department_Region]]))</f>
        <v>Florida</v>
      </c>
      <c r="Q5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30" s="15"/>
    </row>
    <row r="531" spans="1:18" x14ac:dyDescent="0.2">
      <c r="A531" s="1">
        <v>529</v>
      </c>
      <c r="B531" s="6" t="s">
        <v>959</v>
      </c>
      <c r="C531" t="s">
        <v>25</v>
      </c>
      <c r="D531" t="s">
        <v>55</v>
      </c>
      <c r="E531">
        <v>25</v>
      </c>
      <c r="F531" t="s">
        <v>241</v>
      </c>
      <c r="G531" t="s">
        <v>16</v>
      </c>
      <c r="H531" s="6" t="s">
        <v>1846</v>
      </c>
      <c r="I531" s="11">
        <v>90190.69</v>
      </c>
      <c r="J531" t="s">
        <v>152</v>
      </c>
      <c r="K531">
        <v>-4520599603</v>
      </c>
      <c r="L531" t="s">
        <v>41</v>
      </c>
      <c r="M531" t="b">
        <v>1</v>
      </c>
      <c r="N531" s="17">
        <f t="shared" si="8"/>
        <v>45541</v>
      </c>
      <c r="O531" t="str">
        <f>LEFT(Table1[[#This Row],[Department_Region]], FIND("-", Table1[[#This Row],[Department_Region]]) - 1)</f>
        <v>DevOps</v>
      </c>
      <c r="P531" t="str">
        <f>RIGHT(Table1[[#This Row],[Department_Region]],LEN(Table1[[#This Row],[Department_Region]]) - FIND("-",Table1[[#This Row],[Department_Region]]))</f>
        <v>Texas</v>
      </c>
      <c r="Q5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31" s="15"/>
    </row>
    <row r="532" spans="1:18" x14ac:dyDescent="0.2">
      <c r="A532" s="1">
        <v>530</v>
      </c>
      <c r="B532" s="6" t="s">
        <v>960</v>
      </c>
      <c r="C532" t="s">
        <v>13</v>
      </c>
      <c r="D532" t="s">
        <v>124</v>
      </c>
      <c r="E532">
        <v>32</v>
      </c>
      <c r="F532" t="s">
        <v>86</v>
      </c>
      <c r="G532" t="s">
        <v>28</v>
      </c>
      <c r="H532" s="6" t="s">
        <v>868</v>
      </c>
      <c r="I532" s="11">
        <v>113334.56</v>
      </c>
      <c r="J532" t="s">
        <v>125</v>
      </c>
      <c r="K532">
        <v>-3878753576</v>
      </c>
      <c r="L532" t="s">
        <v>23</v>
      </c>
      <c r="M532" t="b">
        <v>0</v>
      </c>
      <c r="N532" s="17">
        <f t="shared" si="8"/>
        <v>44038</v>
      </c>
      <c r="O532" t="str">
        <f>LEFT(Table1[[#This Row],[Department_Region]], FIND("-", Table1[[#This Row],[Department_Region]]) - 1)</f>
        <v>Cloud Tech</v>
      </c>
      <c r="P532" t="str">
        <f>RIGHT(Table1[[#This Row],[Department_Region]],LEN(Table1[[#This Row],[Department_Region]]) - FIND("-",Table1[[#This Row],[Department_Region]]))</f>
        <v>Nevada</v>
      </c>
      <c r="Q5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32" s="15"/>
    </row>
    <row r="533" spans="1:18" x14ac:dyDescent="0.2">
      <c r="A533" s="1">
        <v>531</v>
      </c>
      <c r="B533" s="6" t="s">
        <v>961</v>
      </c>
      <c r="C533" t="s">
        <v>65</v>
      </c>
      <c r="D533" t="s">
        <v>43</v>
      </c>
      <c r="E533">
        <v>35</v>
      </c>
      <c r="F533" t="s">
        <v>215</v>
      </c>
      <c r="G533" t="s">
        <v>16</v>
      </c>
      <c r="H533" s="6" t="s">
        <v>962</v>
      </c>
      <c r="I533" s="11">
        <v>106922.49</v>
      </c>
      <c r="J533" t="s">
        <v>261</v>
      </c>
      <c r="K533">
        <v>-8811616201</v>
      </c>
      <c r="L533" t="s">
        <v>23</v>
      </c>
      <c r="M533" t="b">
        <v>1</v>
      </c>
      <c r="N533" s="17">
        <f t="shared" si="8"/>
        <v>44035</v>
      </c>
      <c r="O533" t="str">
        <f>LEFT(Table1[[#This Row],[Department_Region]], FIND("-", Table1[[#This Row],[Department_Region]]) - 1)</f>
        <v>HR</v>
      </c>
      <c r="P533" t="str">
        <f>RIGHT(Table1[[#This Row],[Department_Region]],LEN(Table1[[#This Row],[Department_Region]]) - FIND("-",Table1[[#This Row],[Department_Region]]))</f>
        <v>Florida</v>
      </c>
      <c r="Q5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33" s="15"/>
    </row>
    <row r="534" spans="1:18" x14ac:dyDescent="0.2">
      <c r="A534" s="1">
        <v>532</v>
      </c>
      <c r="B534" s="6" t="s">
        <v>963</v>
      </c>
      <c r="C534" t="s">
        <v>32</v>
      </c>
      <c r="D534" t="s">
        <v>124</v>
      </c>
      <c r="E534">
        <v>35</v>
      </c>
      <c r="F534" t="s">
        <v>15</v>
      </c>
      <c r="G534" t="s">
        <v>33</v>
      </c>
      <c r="H534" s="6" t="s">
        <v>964</v>
      </c>
      <c r="I534" s="11">
        <v>58113.07</v>
      </c>
      <c r="J534" t="s">
        <v>529</v>
      </c>
      <c r="K534">
        <v>-8123710671</v>
      </c>
      <c r="L534" t="s">
        <v>18</v>
      </c>
      <c r="M534" t="b">
        <v>1</v>
      </c>
      <c r="N534" s="17">
        <f t="shared" si="8"/>
        <v>45343</v>
      </c>
      <c r="O534" t="str">
        <f>LEFT(Table1[[#This Row],[Department_Region]], FIND("-", Table1[[#This Row],[Department_Region]]) - 1)</f>
        <v>DevOps</v>
      </c>
      <c r="P534" t="str">
        <f>RIGHT(Table1[[#This Row],[Department_Region]],LEN(Table1[[#This Row],[Department_Region]]) - FIND("-",Table1[[#This Row],[Department_Region]]))</f>
        <v>California</v>
      </c>
      <c r="Q5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34" s="15"/>
    </row>
    <row r="535" spans="1:18" x14ac:dyDescent="0.2">
      <c r="A535" s="1">
        <v>533</v>
      </c>
      <c r="B535" s="6" t="s">
        <v>965</v>
      </c>
      <c r="C535" t="s">
        <v>25</v>
      </c>
      <c r="D535" t="s">
        <v>124</v>
      </c>
      <c r="E535">
        <v>25</v>
      </c>
      <c r="F535" t="s">
        <v>27</v>
      </c>
      <c r="G535" t="s">
        <v>28</v>
      </c>
      <c r="H535" s="6" t="s">
        <v>966</v>
      </c>
      <c r="I535" s="11">
        <v>73006.259999999995</v>
      </c>
      <c r="J535" t="s">
        <v>185</v>
      </c>
      <c r="K535">
        <v>-8728660415</v>
      </c>
      <c r="L535" t="s">
        <v>41</v>
      </c>
      <c r="M535" t="b">
        <v>1</v>
      </c>
      <c r="N535" s="17">
        <f t="shared" si="8"/>
        <v>44180</v>
      </c>
      <c r="O535" t="str">
        <f>LEFT(Table1[[#This Row],[Department_Region]], FIND("-", Table1[[#This Row],[Department_Region]]) - 1)</f>
        <v>Admin</v>
      </c>
      <c r="P535" t="str">
        <f>RIGHT(Table1[[#This Row],[Department_Region]],LEN(Table1[[#This Row],[Department_Region]]) - FIND("-",Table1[[#This Row],[Department_Region]]))</f>
        <v>Nevada</v>
      </c>
      <c r="Q5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35" s="15"/>
    </row>
    <row r="536" spans="1:18" x14ac:dyDescent="0.2">
      <c r="A536" s="1">
        <v>534</v>
      </c>
      <c r="B536" s="6" t="s">
        <v>967</v>
      </c>
      <c r="C536" t="s">
        <v>32</v>
      </c>
      <c r="D536" t="s">
        <v>38</v>
      </c>
      <c r="E536">
        <v>25</v>
      </c>
      <c r="F536" t="s">
        <v>148</v>
      </c>
      <c r="G536" t="s">
        <v>16</v>
      </c>
      <c r="H536" s="6" t="s">
        <v>419</v>
      </c>
      <c r="I536" s="11">
        <v>78054.429999999993</v>
      </c>
      <c r="J536" t="s">
        <v>143</v>
      </c>
      <c r="K536">
        <v>-4485959223</v>
      </c>
      <c r="L536" t="s">
        <v>41</v>
      </c>
      <c r="M536" t="b">
        <v>1</v>
      </c>
      <c r="N536" s="17">
        <f t="shared" si="8"/>
        <v>44064</v>
      </c>
      <c r="O536" t="str">
        <f>LEFT(Table1[[#This Row],[Department_Region]], FIND("-", Table1[[#This Row],[Department_Region]]) - 1)</f>
        <v>HR</v>
      </c>
      <c r="P536" t="str">
        <f>RIGHT(Table1[[#This Row],[Department_Region]],LEN(Table1[[#This Row],[Department_Region]]) - FIND("-",Table1[[#This Row],[Department_Region]]))</f>
        <v>California</v>
      </c>
      <c r="Q5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36" s="15"/>
    </row>
    <row r="537" spans="1:18" x14ac:dyDescent="0.2">
      <c r="A537" s="1">
        <v>535</v>
      </c>
      <c r="B537" s="6" t="s">
        <v>968</v>
      </c>
      <c r="C537" t="s">
        <v>32</v>
      </c>
      <c r="D537" t="s">
        <v>93</v>
      </c>
      <c r="E537">
        <v>40</v>
      </c>
      <c r="F537" t="s">
        <v>233</v>
      </c>
      <c r="G537" t="s">
        <v>33</v>
      </c>
      <c r="H537" s="6" t="s">
        <v>647</v>
      </c>
      <c r="I537" s="11">
        <v>112028.67</v>
      </c>
      <c r="J537" t="s">
        <v>267</v>
      </c>
      <c r="K537">
        <v>-8395894772</v>
      </c>
      <c r="L537" t="s">
        <v>23</v>
      </c>
      <c r="M537" t="b">
        <v>0</v>
      </c>
      <c r="N537" s="17">
        <f t="shared" si="8"/>
        <v>45159</v>
      </c>
      <c r="O537" t="str">
        <f>LEFT(Table1[[#This Row],[Department_Region]], FIND("-", Table1[[#This Row],[Department_Region]]) - 1)</f>
        <v>DevOps</v>
      </c>
      <c r="P537" t="str">
        <f>RIGHT(Table1[[#This Row],[Department_Region]],LEN(Table1[[#This Row],[Department_Region]]) - FIND("-",Table1[[#This Row],[Department_Region]]))</f>
        <v>Florida</v>
      </c>
      <c r="Q5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37" s="15"/>
    </row>
    <row r="538" spans="1:18" x14ac:dyDescent="0.2">
      <c r="A538" s="1">
        <v>536</v>
      </c>
      <c r="B538" s="6" t="s">
        <v>969</v>
      </c>
      <c r="C538" t="s">
        <v>54</v>
      </c>
      <c r="D538" t="s">
        <v>43</v>
      </c>
      <c r="E538">
        <v>25</v>
      </c>
      <c r="F538" t="s">
        <v>104</v>
      </c>
      <c r="G538" t="s">
        <v>33</v>
      </c>
      <c r="H538" s="6" t="s">
        <v>970</v>
      </c>
      <c r="I538" s="11">
        <v>83787.240000000005</v>
      </c>
      <c r="J538" t="s">
        <v>88</v>
      </c>
      <c r="K538">
        <v>-5228705621</v>
      </c>
      <c r="L538" t="s">
        <v>30</v>
      </c>
      <c r="M538" t="b">
        <v>1</v>
      </c>
      <c r="N538" s="17">
        <f t="shared" si="8"/>
        <v>45040</v>
      </c>
      <c r="O538" t="str">
        <f>LEFT(Table1[[#This Row],[Department_Region]], FIND("-", Table1[[#This Row],[Department_Region]]) - 1)</f>
        <v>Admin</v>
      </c>
      <c r="P538" t="str">
        <f>RIGHT(Table1[[#This Row],[Department_Region]],LEN(Table1[[#This Row],[Department_Region]]) - FIND("-",Table1[[#This Row],[Department_Region]]))</f>
        <v>Texas</v>
      </c>
      <c r="Q5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38" s="15"/>
    </row>
    <row r="539" spans="1:18" x14ac:dyDescent="0.2">
      <c r="A539" s="1">
        <v>537</v>
      </c>
      <c r="B539" s="6" t="s">
        <v>971</v>
      </c>
      <c r="C539" t="s">
        <v>65</v>
      </c>
      <c r="D539" t="s">
        <v>14</v>
      </c>
      <c r="E539">
        <v>30</v>
      </c>
      <c r="F539" t="s">
        <v>75</v>
      </c>
      <c r="G539" t="s">
        <v>33</v>
      </c>
      <c r="H539" s="6" t="s">
        <v>1847</v>
      </c>
      <c r="I539" s="11">
        <v>52017.14</v>
      </c>
      <c r="J539" t="s">
        <v>400</v>
      </c>
      <c r="K539">
        <v>-7104331874</v>
      </c>
      <c r="L539" t="s">
        <v>18</v>
      </c>
      <c r="M539" t="b">
        <v>1</v>
      </c>
      <c r="N539" s="17">
        <f t="shared" si="8"/>
        <v>45083</v>
      </c>
      <c r="O539" t="str">
        <f>LEFT(Table1[[#This Row],[Department_Region]], FIND("-", Table1[[#This Row],[Department_Region]]) - 1)</f>
        <v>Sales</v>
      </c>
      <c r="P539" t="str">
        <f>RIGHT(Table1[[#This Row],[Department_Region]],LEN(Table1[[#This Row],[Department_Region]]) - FIND("-",Table1[[#This Row],[Department_Region]]))</f>
        <v>Florida</v>
      </c>
      <c r="Q5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39" s="15"/>
    </row>
    <row r="540" spans="1:18" x14ac:dyDescent="0.2">
      <c r="A540" s="1">
        <v>538</v>
      </c>
      <c r="B540" s="6" t="s">
        <v>972</v>
      </c>
      <c r="C540" t="s">
        <v>54</v>
      </c>
      <c r="D540" t="s">
        <v>26</v>
      </c>
      <c r="E540">
        <v>40</v>
      </c>
      <c r="F540" t="s">
        <v>21</v>
      </c>
      <c r="G540" t="s">
        <v>33</v>
      </c>
      <c r="H540" s="6" t="s">
        <v>973</v>
      </c>
      <c r="I540" s="11">
        <v>53218.06</v>
      </c>
      <c r="J540" t="s">
        <v>122</v>
      </c>
      <c r="K540">
        <v>-1097921582</v>
      </c>
      <c r="L540" t="s">
        <v>18</v>
      </c>
      <c r="M540" t="b">
        <v>0</v>
      </c>
      <c r="N540" s="17">
        <f t="shared" si="8"/>
        <v>44733</v>
      </c>
      <c r="O540" t="str">
        <f>LEFT(Table1[[#This Row],[Department_Region]], FIND("-", Table1[[#This Row],[Department_Region]]) - 1)</f>
        <v>Finance</v>
      </c>
      <c r="P540" t="str">
        <f>RIGHT(Table1[[#This Row],[Department_Region]],LEN(Table1[[#This Row],[Department_Region]]) - FIND("-",Table1[[#This Row],[Department_Region]]))</f>
        <v>Texas</v>
      </c>
      <c r="Q5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40" s="15"/>
    </row>
    <row r="541" spans="1:18" x14ac:dyDescent="0.2">
      <c r="A541" s="1">
        <v>539</v>
      </c>
      <c r="B541" s="6" t="s">
        <v>974</v>
      </c>
      <c r="C541" t="s">
        <v>37</v>
      </c>
      <c r="D541" t="s">
        <v>55</v>
      </c>
      <c r="E541">
        <v>25</v>
      </c>
      <c r="F541" t="s">
        <v>333</v>
      </c>
      <c r="G541" t="s">
        <v>28</v>
      </c>
      <c r="H541" s="6" t="s">
        <v>975</v>
      </c>
      <c r="I541" s="11">
        <v>102053.67</v>
      </c>
      <c r="J541" t="s">
        <v>275</v>
      </c>
      <c r="K541">
        <v>-5034469458</v>
      </c>
      <c r="L541" t="s">
        <v>18</v>
      </c>
      <c r="M541" t="b">
        <v>0</v>
      </c>
      <c r="N541" s="17">
        <f t="shared" si="8"/>
        <v>45402</v>
      </c>
      <c r="O541" t="str">
        <f>LEFT(Table1[[#This Row],[Department_Region]], FIND("-", Table1[[#This Row],[Department_Region]]) - 1)</f>
        <v>DevOps</v>
      </c>
      <c r="P541" t="str">
        <f>RIGHT(Table1[[#This Row],[Department_Region]],LEN(Table1[[#This Row],[Department_Region]]) - FIND("-",Table1[[#This Row],[Department_Region]]))</f>
        <v>Nevada</v>
      </c>
      <c r="Q5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41" s="15"/>
    </row>
    <row r="542" spans="1:18" x14ac:dyDescent="0.2">
      <c r="A542" s="1">
        <v>540</v>
      </c>
      <c r="B542" s="6" t="s">
        <v>976</v>
      </c>
      <c r="C542" t="s">
        <v>59</v>
      </c>
      <c r="D542" t="s">
        <v>14</v>
      </c>
      <c r="E542">
        <v>35</v>
      </c>
      <c r="F542" t="s">
        <v>99</v>
      </c>
      <c r="G542" t="s">
        <v>28</v>
      </c>
      <c r="H542" s="6" t="s">
        <v>1848</v>
      </c>
      <c r="I542" s="11">
        <v>93276.73</v>
      </c>
      <c r="J542" t="s">
        <v>63</v>
      </c>
      <c r="K542">
        <v>-6488319212</v>
      </c>
      <c r="L542" t="s">
        <v>18</v>
      </c>
      <c r="M542" t="b">
        <v>0</v>
      </c>
      <c r="N542" s="17">
        <f t="shared" si="8"/>
        <v>45265</v>
      </c>
      <c r="O542" t="str">
        <f>LEFT(Table1[[#This Row],[Department_Region]], FIND("-", Table1[[#This Row],[Department_Region]]) - 1)</f>
        <v>Sales</v>
      </c>
      <c r="P542" t="str">
        <f>RIGHT(Table1[[#This Row],[Department_Region]],LEN(Table1[[#This Row],[Department_Region]]) - FIND("-",Table1[[#This Row],[Department_Region]]))</f>
        <v>Illinois</v>
      </c>
      <c r="Q5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42" s="15"/>
    </row>
    <row r="543" spans="1:18" x14ac:dyDescent="0.2">
      <c r="A543" s="1">
        <v>541</v>
      </c>
      <c r="B543" s="6" t="s">
        <v>977</v>
      </c>
      <c r="C543" t="s">
        <v>59</v>
      </c>
      <c r="D543" t="s">
        <v>55</v>
      </c>
      <c r="E543">
        <v>40</v>
      </c>
      <c r="F543" t="s">
        <v>151</v>
      </c>
      <c r="G543" t="s">
        <v>28</v>
      </c>
      <c r="H543" s="6" t="s">
        <v>1849</v>
      </c>
      <c r="I543" s="11">
        <v>76941.36</v>
      </c>
      <c r="J543" t="s">
        <v>220</v>
      </c>
      <c r="K543">
        <v>-4249128964</v>
      </c>
      <c r="L543" t="s">
        <v>41</v>
      </c>
      <c r="M543" t="b">
        <v>1</v>
      </c>
      <c r="N543" s="17">
        <f t="shared" si="8"/>
        <v>45144</v>
      </c>
      <c r="O543" t="str">
        <f>LEFT(Table1[[#This Row],[Department_Region]], FIND("-", Table1[[#This Row],[Department_Region]]) - 1)</f>
        <v>HR</v>
      </c>
      <c r="P543" t="str">
        <f>RIGHT(Table1[[#This Row],[Department_Region]],LEN(Table1[[#This Row],[Department_Region]]) - FIND("-",Table1[[#This Row],[Department_Region]]))</f>
        <v>Nevada</v>
      </c>
      <c r="Q5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43" s="15"/>
    </row>
    <row r="544" spans="1:18" x14ac:dyDescent="0.2">
      <c r="A544" s="1">
        <v>542</v>
      </c>
      <c r="B544" s="6" t="s">
        <v>978</v>
      </c>
      <c r="C544" t="s">
        <v>25</v>
      </c>
      <c r="D544" t="s">
        <v>38</v>
      </c>
      <c r="E544">
        <v>25</v>
      </c>
      <c r="F544" t="s">
        <v>56</v>
      </c>
      <c r="G544" t="s">
        <v>28</v>
      </c>
      <c r="H544" s="6" t="s">
        <v>1818</v>
      </c>
      <c r="I544" s="11">
        <v>82850.23</v>
      </c>
      <c r="J544" t="s">
        <v>368</v>
      </c>
      <c r="K544">
        <v>-9994973202</v>
      </c>
      <c r="L544" t="s">
        <v>41</v>
      </c>
      <c r="M544" t="b">
        <v>0</v>
      </c>
      <c r="N544" s="17">
        <f t="shared" si="8"/>
        <v>45569</v>
      </c>
      <c r="O544" t="str">
        <f>LEFT(Table1[[#This Row],[Department_Region]], FIND("-", Table1[[#This Row],[Department_Region]]) - 1)</f>
        <v>DevOps</v>
      </c>
      <c r="P544" t="str">
        <f>RIGHT(Table1[[#This Row],[Department_Region]],LEN(Table1[[#This Row],[Department_Region]]) - FIND("-",Table1[[#This Row],[Department_Region]]))</f>
        <v>New York</v>
      </c>
      <c r="Q5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44" s="15"/>
    </row>
    <row r="545" spans="1:18" x14ac:dyDescent="0.2">
      <c r="A545" s="1">
        <v>543</v>
      </c>
      <c r="B545" s="6" t="s">
        <v>979</v>
      </c>
      <c r="C545" t="s">
        <v>54</v>
      </c>
      <c r="D545" t="s">
        <v>55</v>
      </c>
      <c r="E545">
        <v>25</v>
      </c>
      <c r="F545" t="s">
        <v>70</v>
      </c>
      <c r="G545" t="s">
        <v>16</v>
      </c>
      <c r="H545" s="6" t="s">
        <v>1803</v>
      </c>
      <c r="I545" s="11">
        <v>117910.15</v>
      </c>
      <c r="J545" t="s">
        <v>57</v>
      </c>
      <c r="K545">
        <v>-3192227050</v>
      </c>
      <c r="L545" t="s">
        <v>30</v>
      </c>
      <c r="M545" t="b">
        <v>0</v>
      </c>
      <c r="N545" s="17">
        <f t="shared" si="8"/>
        <v>44508</v>
      </c>
      <c r="O545" t="str">
        <f>LEFT(Table1[[#This Row],[Department_Region]], FIND("-", Table1[[#This Row],[Department_Region]]) - 1)</f>
        <v>Finance</v>
      </c>
      <c r="P545" t="str">
        <f>RIGHT(Table1[[#This Row],[Department_Region]],LEN(Table1[[#This Row],[Department_Region]]) - FIND("-",Table1[[#This Row],[Department_Region]]))</f>
        <v>California</v>
      </c>
      <c r="Q5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45" s="15"/>
    </row>
    <row r="546" spans="1:18" x14ac:dyDescent="0.2">
      <c r="A546" s="1">
        <v>544</v>
      </c>
      <c r="B546" s="6" t="s">
        <v>980</v>
      </c>
      <c r="C546" t="s">
        <v>59</v>
      </c>
      <c r="D546" t="s">
        <v>124</v>
      </c>
      <c r="E546">
        <v>32</v>
      </c>
      <c r="F546" t="s">
        <v>233</v>
      </c>
      <c r="G546" t="s">
        <v>33</v>
      </c>
      <c r="H546" s="6" t="s">
        <v>981</v>
      </c>
      <c r="I546" s="11">
        <v>66450</v>
      </c>
      <c r="J546" t="s">
        <v>346</v>
      </c>
      <c r="K546">
        <v>-287675480</v>
      </c>
      <c r="L546" t="s">
        <v>18</v>
      </c>
      <c r="M546" t="b">
        <v>1</v>
      </c>
      <c r="N546" s="17">
        <f t="shared" si="8"/>
        <v>45504</v>
      </c>
      <c r="O546" t="str">
        <f>LEFT(Table1[[#This Row],[Department_Region]], FIND("-", Table1[[#This Row],[Department_Region]]) - 1)</f>
        <v>DevOps</v>
      </c>
      <c r="P546" t="str">
        <f>RIGHT(Table1[[#This Row],[Department_Region]],LEN(Table1[[#This Row],[Department_Region]]) - FIND("-",Table1[[#This Row],[Department_Region]]))</f>
        <v>Florida</v>
      </c>
      <c r="Q5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46" s="15"/>
    </row>
    <row r="547" spans="1:18" x14ac:dyDescent="0.2">
      <c r="A547" s="1">
        <v>545</v>
      </c>
      <c r="B547" s="6" t="s">
        <v>982</v>
      </c>
      <c r="C547" t="s">
        <v>65</v>
      </c>
      <c r="D547" t="s">
        <v>43</v>
      </c>
      <c r="E547">
        <v>25</v>
      </c>
      <c r="F547" t="s">
        <v>113</v>
      </c>
      <c r="G547" t="s">
        <v>33</v>
      </c>
      <c r="H547" s="6" t="s">
        <v>983</v>
      </c>
      <c r="I547" s="11">
        <v>118646.95</v>
      </c>
      <c r="J547" t="s">
        <v>261</v>
      </c>
      <c r="K547">
        <v>-3866675484</v>
      </c>
      <c r="L547" t="s">
        <v>18</v>
      </c>
      <c r="M547" t="b">
        <v>0</v>
      </c>
      <c r="N547" s="17">
        <f t="shared" si="8"/>
        <v>44074</v>
      </c>
      <c r="O547" t="str">
        <f>LEFT(Table1[[#This Row],[Department_Region]], FIND("-", Table1[[#This Row],[Department_Region]]) - 1)</f>
        <v>Finance</v>
      </c>
      <c r="P547" t="str">
        <f>RIGHT(Table1[[#This Row],[Department_Region]],LEN(Table1[[#This Row],[Department_Region]]) - FIND("-",Table1[[#This Row],[Department_Region]]))</f>
        <v>Florida</v>
      </c>
      <c r="Q5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47" s="15"/>
    </row>
    <row r="548" spans="1:18" x14ac:dyDescent="0.2">
      <c r="A548" s="1">
        <v>546</v>
      </c>
      <c r="B548" s="6" t="s">
        <v>984</v>
      </c>
      <c r="C548" t="s">
        <v>25</v>
      </c>
      <c r="D548" t="s">
        <v>26</v>
      </c>
      <c r="E548">
        <v>25</v>
      </c>
      <c r="F548" t="s">
        <v>113</v>
      </c>
      <c r="G548" t="s">
        <v>16</v>
      </c>
      <c r="H548" s="6" t="s">
        <v>985</v>
      </c>
      <c r="I548" s="11">
        <v>88436.92</v>
      </c>
      <c r="J548" t="s">
        <v>29</v>
      </c>
      <c r="K548">
        <v>-8193242686</v>
      </c>
      <c r="L548" t="s">
        <v>23</v>
      </c>
      <c r="M548" t="b">
        <v>0</v>
      </c>
      <c r="N548" s="17">
        <f t="shared" si="8"/>
        <v>44972</v>
      </c>
      <c r="O548" t="str">
        <f>LEFT(Table1[[#This Row],[Department_Region]], FIND("-", Table1[[#This Row],[Department_Region]]) - 1)</f>
        <v>Finance</v>
      </c>
      <c r="P548" t="str">
        <f>RIGHT(Table1[[#This Row],[Department_Region]],LEN(Table1[[#This Row],[Department_Region]]) - FIND("-",Table1[[#This Row],[Department_Region]]))</f>
        <v>Florida</v>
      </c>
      <c r="Q5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48" s="15"/>
    </row>
    <row r="549" spans="1:18" x14ac:dyDescent="0.2">
      <c r="A549" s="1">
        <v>547</v>
      </c>
      <c r="B549" s="6" t="s">
        <v>986</v>
      </c>
      <c r="C549" t="s">
        <v>32</v>
      </c>
      <c r="D549" t="s">
        <v>20</v>
      </c>
      <c r="E549">
        <v>32</v>
      </c>
      <c r="F549" t="s">
        <v>110</v>
      </c>
      <c r="G549" t="s">
        <v>28</v>
      </c>
      <c r="H549" s="6" t="s">
        <v>1781</v>
      </c>
      <c r="I549" s="11">
        <v>81934.55</v>
      </c>
      <c r="J549" t="s">
        <v>157</v>
      </c>
      <c r="K549">
        <v>-7418652056</v>
      </c>
      <c r="L549" t="s">
        <v>41</v>
      </c>
      <c r="M549" t="b">
        <v>0</v>
      </c>
      <c r="N549" s="17">
        <f t="shared" si="8"/>
        <v>45206</v>
      </c>
      <c r="O549" t="str">
        <f>LEFT(Table1[[#This Row],[Department_Region]], FIND("-", Table1[[#This Row],[Department_Region]]) - 1)</f>
        <v>Sales</v>
      </c>
      <c r="P549" t="str">
        <f>RIGHT(Table1[[#This Row],[Department_Region]],LEN(Table1[[#This Row],[Department_Region]]) - FIND("-",Table1[[#This Row],[Department_Region]]))</f>
        <v>New York</v>
      </c>
      <c r="Q5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49" s="15"/>
    </row>
    <row r="550" spans="1:18" x14ac:dyDescent="0.2">
      <c r="A550" s="1">
        <v>548</v>
      </c>
      <c r="B550" s="6" t="s">
        <v>987</v>
      </c>
      <c r="C550" t="s">
        <v>25</v>
      </c>
      <c r="D550" t="s">
        <v>55</v>
      </c>
      <c r="E550">
        <v>30</v>
      </c>
      <c r="F550" t="s">
        <v>70</v>
      </c>
      <c r="G550" t="s">
        <v>28</v>
      </c>
      <c r="H550" s="6" t="s">
        <v>975</v>
      </c>
      <c r="I550" s="11">
        <v>93383.06</v>
      </c>
      <c r="J550" t="s">
        <v>152</v>
      </c>
      <c r="K550">
        <v>-5639836519</v>
      </c>
      <c r="L550" t="s">
        <v>18</v>
      </c>
      <c r="M550" t="b">
        <v>0</v>
      </c>
      <c r="N550" s="17">
        <f t="shared" si="8"/>
        <v>45402</v>
      </c>
      <c r="O550" t="str">
        <f>LEFT(Table1[[#This Row],[Department_Region]], FIND("-", Table1[[#This Row],[Department_Region]]) - 1)</f>
        <v>Finance</v>
      </c>
      <c r="P550" t="str">
        <f>RIGHT(Table1[[#This Row],[Department_Region]],LEN(Table1[[#This Row],[Department_Region]]) - FIND("-",Table1[[#This Row],[Department_Region]]))</f>
        <v>California</v>
      </c>
      <c r="Q5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50" s="15"/>
    </row>
    <row r="551" spans="1:18" x14ac:dyDescent="0.2">
      <c r="A551" s="1">
        <v>549</v>
      </c>
      <c r="B551" s="6" t="s">
        <v>988</v>
      </c>
      <c r="C551" t="s">
        <v>37</v>
      </c>
      <c r="D551" t="s">
        <v>14</v>
      </c>
      <c r="E551">
        <v>40</v>
      </c>
      <c r="F551" t="s">
        <v>161</v>
      </c>
      <c r="G551" t="s">
        <v>28</v>
      </c>
      <c r="H551" s="6" t="s">
        <v>989</v>
      </c>
      <c r="I551" s="11">
        <v>50153.79</v>
      </c>
      <c r="J551" t="s">
        <v>52</v>
      </c>
      <c r="K551">
        <v>-3758309450</v>
      </c>
      <c r="L551" t="s">
        <v>30</v>
      </c>
      <c r="M551" t="b">
        <v>1</v>
      </c>
      <c r="N551" s="17">
        <f t="shared" si="8"/>
        <v>44285</v>
      </c>
      <c r="O551" t="str">
        <f>LEFT(Table1[[#This Row],[Department_Region]], FIND("-", Table1[[#This Row],[Department_Region]]) - 1)</f>
        <v>Cloud Tech</v>
      </c>
      <c r="P551" t="str">
        <f>RIGHT(Table1[[#This Row],[Department_Region]],LEN(Table1[[#This Row],[Department_Region]]) - FIND("-",Table1[[#This Row],[Department_Region]]))</f>
        <v>Texas</v>
      </c>
      <c r="Q5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51" s="15"/>
    </row>
    <row r="552" spans="1:18" x14ac:dyDescent="0.2">
      <c r="A552" s="1">
        <v>550</v>
      </c>
      <c r="B552" s="6" t="s">
        <v>990</v>
      </c>
      <c r="C552" t="s">
        <v>32</v>
      </c>
      <c r="D552" t="s">
        <v>124</v>
      </c>
      <c r="E552">
        <v>32</v>
      </c>
      <c r="F552" t="s">
        <v>180</v>
      </c>
      <c r="G552" t="s">
        <v>28</v>
      </c>
      <c r="H552" s="6" t="s">
        <v>1850</v>
      </c>
      <c r="I552" s="11">
        <v>53204.47</v>
      </c>
      <c r="J552" t="s">
        <v>529</v>
      </c>
      <c r="K552">
        <v>-5480940475</v>
      </c>
      <c r="L552" t="s">
        <v>30</v>
      </c>
      <c r="M552" t="b">
        <v>0</v>
      </c>
      <c r="N552" s="17">
        <f t="shared" si="8"/>
        <v>44048</v>
      </c>
      <c r="O552" t="str">
        <f>LEFT(Table1[[#This Row],[Department_Region]], FIND("-", Table1[[#This Row],[Department_Region]]) - 1)</f>
        <v>Sales</v>
      </c>
      <c r="P552" t="str">
        <f>RIGHT(Table1[[#This Row],[Department_Region]],LEN(Table1[[#This Row],[Department_Region]]) - FIND("-",Table1[[#This Row],[Department_Region]]))</f>
        <v>California</v>
      </c>
      <c r="Q5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52" s="15"/>
    </row>
    <row r="553" spans="1:18" x14ac:dyDescent="0.2">
      <c r="A553" s="1">
        <v>551</v>
      </c>
      <c r="B553" s="6" t="s">
        <v>991</v>
      </c>
      <c r="C553" t="s">
        <v>54</v>
      </c>
      <c r="D553" t="s">
        <v>20</v>
      </c>
      <c r="E553">
        <v>40</v>
      </c>
      <c r="F553" t="s">
        <v>272</v>
      </c>
      <c r="G553" t="s">
        <v>28</v>
      </c>
      <c r="H553" s="6" t="s">
        <v>1851</v>
      </c>
      <c r="I553" s="11">
        <v>63128.04</v>
      </c>
      <c r="J553" t="s">
        <v>127</v>
      </c>
      <c r="K553">
        <v>-440907976</v>
      </c>
      <c r="L553" t="s">
        <v>41</v>
      </c>
      <c r="M553" t="b">
        <v>0</v>
      </c>
      <c r="N553" s="17">
        <f t="shared" si="8"/>
        <v>44232</v>
      </c>
      <c r="O553" t="str">
        <f>LEFT(Table1[[#This Row],[Department_Region]], FIND("-", Table1[[#This Row],[Department_Region]]) - 1)</f>
        <v>Cloud Tech</v>
      </c>
      <c r="P553" t="str">
        <f>RIGHT(Table1[[#This Row],[Department_Region]],LEN(Table1[[#This Row],[Department_Region]]) - FIND("-",Table1[[#This Row],[Department_Region]]))</f>
        <v>California</v>
      </c>
      <c r="Q5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53" s="15"/>
    </row>
    <row r="554" spans="1:18" x14ac:dyDescent="0.2">
      <c r="A554" s="1">
        <v>552</v>
      </c>
      <c r="B554" s="6" t="s">
        <v>992</v>
      </c>
      <c r="C554" t="s">
        <v>69</v>
      </c>
      <c r="D554" t="s">
        <v>26</v>
      </c>
      <c r="E554">
        <v>30</v>
      </c>
      <c r="F554" t="s">
        <v>230</v>
      </c>
      <c r="G554" t="s">
        <v>28</v>
      </c>
      <c r="H554" s="6" t="s">
        <v>993</v>
      </c>
      <c r="I554" s="11">
        <v>57543.6</v>
      </c>
      <c r="J554" t="s">
        <v>77</v>
      </c>
      <c r="K554">
        <v>-2781050921</v>
      </c>
      <c r="L554" t="s">
        <v>30</v>
      </c>
      <c r="M554" t="b">
        <v>1</v>
      </c>
      <c r="N554" s="17">
        <f t="shared" si="8"/>
        <v>44523</v>
      </c>
      <c r="O554" t="str">
        <f>LEFT(Table1[[#This Row],[Department_Region]], FIND("-", Table1[[#This Row],[Department_Region]]) - 1)</f>
        <v>Finance</v>
      </c>
      <c r="P554" t="str">
        <f>RIGHT(Table1[[#This Row],[Department_Region]],LEN(Table1[[#This Row],[Department_Region]]) - FIND("-",Table1[[#This Row],[Department_Region]]))</f>
        <v>New York</v>
      </c>
      <c r="Q5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54" s="15"/>
    </row>
    <row r="555" spans="1:18" x14ac:dyDescent="0.2">
      <c r="A555" s="1">
        <v>553</v>
      </c>
      <c r="B555" s="6" t="s">
        <v>994</v>
      </c>
      <c r="C555" t="s">
        <v>13</v>
      </c>
      <c r="D555" t="s">
        <v>20</v>
      </c>
      <c r="E555">
        <v>40</v>
      </c>
      <c r="F555" t="s">
        <v>101</v>
      </c>
      <c r="G555" t="s">
        <v>28</v>
      </c>
      <c r="H555" s="6" t="s">
        <v>995</v>
      </c>
      <c r="I555" s="11">
        <v>59424.52</v>
      </c>
      <c r="J555" t="s">
        <v>22</v>
      </c>
      <c r="K555">
        <v>-2161070517</v>
      </c>
      <c r="L555" t="s">
        <v>30</v>
      </c>
      <c r="M555" t="b">
        <v>0</v>
      </c>
      <c r="N555" s="17">
        <f t="shared" si="8"/>
        <v>44863</v>
      </c>
      <c r="O555" t="str">
        <f>LEFT(Table1[[#This Row],[Department_Region]], FIND("-", Table1[[#This Row],[Department_Region]]) - 1)</f>
        <v>Finance</v>
      </c>
      <c r="P555" t="str">
        <f>RIGHT(Table1[[#This Row],[Department_Region]],LEN(Table1[[#This Row],[Department_Region]]) - FIND("-",Table1[[#This Row],[Department_Region]]))</f>
        <v>Nevada</v>
      </c>
      <c r="Q5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55" s="15"/>
    </row>
    <row r="556" spans="1:18" x14ac:dyDescent="0.2">
      <c r="A556" s="1">
        <v>554</v>
      </c>
      <c r="B556" s="6" t="s">
        <v>996</v>
      </c>
      <c r="C556" t="s">
        <v>25</v>
      </c>
      <c r="D556" t="s">
        <v>124</v>
      </c>
      <c r="E556">
        <v>32</v>
      </c>
      <c r="F556" t="s">
        <v>269</v>
      </c>
      <c r="G556" t="s">
        <v>33</v>
      </c>
      <c r="H556" s="6" t="s">
        <v>1852</v>
      </c>
      <c r="I556" s="11">
        <v>104675.7</v>
      </c>
      <c r="J556" t="s">
        <v>185</v>
      </c>
      <c r="K556">
        <v>-4390552957</v>
      </c>
      <c r="L556" t="s">
        <v>41</v>
      </c>
      <c r="M556" t="b">
        <v>1</v>
      </c>
      <c r="N556" s="17">
        <f t="shared" si="8"/>
        <v>44872</v>
      </c>
      <c r="O556" t="str">
        <f>LEFT(Table1[[#This Row],[Department_Region]], FIND("-", Table1[[#This Row],[Department_Region]]) - 1)</f>
        <v>Finance</v>
      </c>
      <c r="P556" t="str">
        <f>RIGHT(Table1[[#This Row],[Department_Region]],LEN(Table1[[#This Row],[Department_Region]]) - FIND("-",Table1[[#This Row],[Department_Region]]))</f>
        <v>Illinois</v>
      </c>
      <c r="Q5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56" s="15"/>
    </row>
    <row r="557" spans="1:18" x14ac:dyDescent="0.2">
      <c r="A557" s="1">
        <v>555</v>
      </c>
      <c r="B557" s="6" t="s">
        <v>997</v>
      </c>
      <c r="C557" t="s">
        <v>54</v>
      </c>
      <c r="D557" t="s">
        <v>43</v>
      </c>
      <c r="E557">
        <v>30</v>
      </c>
      <c r="F557" t="s">
        <v>39</v>
      </c>
      <c r="G557" t="s">
        <v>28</v>
      </c>
      <c r="H557" s="6" t="s">
        <v>998</v>
      </c>
      <c r="I557" s="11">
        <v>92431.25</v>
      </c>
      <c r="J557" t="s">
        <v>88</v>
      </c>
      <c r="K557">
        <v>-660138240</v>
      </c>
      <c r="L557" t="s">
        <v>18</v>
      </c>
      <c r="M557" t="b">
        <v>0</v>
      </c>
      <c r="N557" s="17">
        <f t="shared" si="8"/>
        <v>45060</v>
      </c>
      <c r="O557" t="str">
        <f>LEFT(Table1[[#This Row],[Department_Region]], FIND("-", Table1[[#This Row],[Department_Region]]) - 1)</f>
        <v>Cloud Tech</v>
      </c>
      <c r="P557" t="str">
        <f>RIGHT(Table1[[#This Row],[Department_Region]],LEN(Table1[[#This Row],[Department_Region]]) - FIND("-",Table1[[#This Row],[Department_Region]]))</f>
        <v>Florida</v>
      </c>
      <c r="Q5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57" s="15"/>
    </row>
    <row r="558" spans="1:18" x14ac:dyDescent="0.2">
      <c r="A558" s="1">
        <v>556</v>
      </c>
      <c r="B558" s="6" t="s">
        <v>999</v>
      </c>
      <c r="C558" t="s">
        <v>69</v>
      </c>
      <c r="D558" t="s">
        <v>43</v>
      </c>
      <c r="E558">
        <v>40</v>
      </c>
      <c r="F558" t="s">
        <v>222</v>
      </c>
      <c r="G558" t="s">
        <v>16</v>
      </c>
      <c r="H558" s="6" t="s">
        <v>1000</v>
      </c>
      <c r="I558" s="11">
        <v>77850.899999999994</v>
      </c>
      <c r="J558" t="s">
        <v>84</v>
      </c>
      <c r="K558">
        <v>-2704938619</v>
      </c>
      <c r="L558" t="s">
        <v>18</v>
      </c>
      <c r="M558" t="b">
        <v>1</v>
      </c>
      <c r="N558" s="17">
        <f t="shared" si="8"/>
        <v>44391</v>
      </c>
      <c r="O558" t="str">
        <f>LEFT(Table1[[#This Row],[Department_Region]], FIND("-", Table1[[#This Row],[Department_Region]]) - 1)</f>
        <v>Sales</v>
      </c>
      <c r="P558" t="str">
        <f>RIGHT(Table1[[#This Row],[Department_Region]],LEN(Table1[[#This Row],[Department_Region]]) - FIND("-",Table1[[#This Row],[Department_Region]]))</f>
        <v>Nevada</v>
      </c>
      <c r="Q5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58" s="15"/>
    </row>
    <row r="559" spans="1:18" x14ac:dyDescent="0.2">
      <c r="A559" s="1">
        <v>557</v>
      </c>
      <c r="B559" s="6" t="s">
        <v>1001</v>
      </c>
      <c r="C559" t="s">
        <v>32</v>
      </c>
      <c r="D559" t="s">
        <v>93</v>
      </c>
      <c r="E559">
        <v>40</v>
      </c>
      <c r="F559" t="s">
        <v>199</v>
      </c>
      <c r="G559" t="s">
        <v>33</v>
      </c>
      <c r="H559" s="6" t="s">
        <v>1002</v>
      </c>
      <c r="I559" s="11">
        <v>99001</v>
      </c>
      <c r="J559" t="s">
        <v>267</v>
      </c>
      <c r="K559">
        <v>-4485157918</v>
      </c>
      <c r="L559" t="s">
        <v>30</v>
      </c>
      <c r="M559" t="b">
        <v>1</v>
      </c>
      <c r="N559" s="17">
        <f t="shared" si="8"/>
        <v>45064</v>
      </c>
      <c r="O559" t="str">
        <f>LEFT(Table1[[#This Row],[Department_Region]], FIND("-", Table1[[#This Row],[Department_Region]]) - 1)</f>
        <v>Admin</v>
      </c>
      <c r="P559" t="str">
        <f>RIGHT(Table1[[#This Row],[Department_Region]],LEN(Table1[[#This Row],[Department_Region]]) - FIND("-",Table1[[#This Row],[Department_Region]]))</f>
        <v>New York</v>
      </c>
      <c r="Q5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59" s="15"/>
    </row>
    <row r="560" spans="1:18" x14ac:dyDescent="0.2">
      <c r="A560" s="1">
        <v>558</v>
      </c>
      <c r="B560" s="6" t="s">
        <v>1003</v>
      </c>
      <c r="C560" t="s">
        <v>32</v>
      </c>
      <c r="D560" t="s">
        <v>43</v>
      </c>
      <c r="E560">
        <v>32</v>
      </c>
      <c r="F560" t="s">
        <v>151</v>
      </c>
      <c r="G560" t="s">
        <v>28</v>
      </c>
      <c r="H560" s="6" t="s">
        <v>1830</v>
      </c>
      <c r="I560" s="11">
        <v>94280.83</v>
      </c>
      <c r="J560" t="s">
        <v>301</v>
      </c>
      <c r="K560">
        <v>-7111212589</v>
      </c>
      <c r="L560" t="s">
        <v>30</v>
      </c>
      <c r="M560" t="b">
        <v>1</v>
      </c>
      <c r="N560" s="17">
        <f t="shared" si="8"/>
        <v>44964</v>
      </c>
      <c r="O560" t="str">
        <f>LEFT(Table1[[#This Row],[Department_Region]], FIND("-", Table1[[#This Row],[Department_Region]]) - 1)</f>
        <v>HR</v>
      </c>
      <c r="P560" t="str">
        <f>RIGHT(Table1[[#This Row],[Department_Region]],LEN(Table1[[#This Row],[Department_Region]]) - FIND("-",Table1[[#This Row],[Department_Region]]))</f>
        <v>Nevada</v>
      </c>
      <c r="Q5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0" s="15"/>
    </row>
    <row r="561" spans="1:18" x14ac:dyDescent="0.2">
      <c r="A561" s="1">
        <v>559</v>
      </c>
      <c r="B561" s="6" t="s">
        <v>1004</v>
      </c>
      <c r="C561" t="s">
        <v>32</v>
      </c>
      <c r="D561" t="s">
        <v>93</v>
      </c>
      <c r="E561">
        <v>35</v>
      </c>
      <c r="F561" t="s">
        <v>56</v>
      </c>
      <c r="G561" t="s">
        <v>28</v>
      </c>
      <c r="H561" s="6" t="s">
        <v>1005</v>
      </c>
      <c r="I561" s="11">
        <v>118262.56</v>
      </c>
      <c r="J561" t="s">
        <v>267</v>
      </c>
      <c r="K561">
        <v>-2035713431</v>
      </c>
      <c r="L561" t="s">
        <v>18</v>
      </c>
      <c r="M561" t="b">
        <v>1</v>
      </c>
      <c r="N561" s="17">
        <f t="shared" si="8"/>
        <v>45162</v>
      </c>
      <c r="O561" t="str">
        <f>LEFT(Table1[[#This Row],[Department_Region]], FIND("-", Table1[[#This Row],[Department_Region]]) - 1)</f>
        <v>DevOps</v>
      </c>
      <c r="P561" t="str">
        <f>RIGHT(Table1[[#This Row],[Department_Region]],LEN(Table1[[#This Row],[Department_Region]]) - FIND("-",Table1[[#This Row],[Department_Region]]))</f>
        <v>New York</v>
      </c>
      <c r="Q5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61" s="15"/>
    </row>
    <row r="562" spans="1:18" x14ac:dyDescent="0.2">
      <c r="A562" s="1">
        <v>560</v>
      </c>
      <c r="B562" s="6" t="s">
        <v>1006</v>
      </c>
      <c r="C562" t="s">
        <v>37</v>
      </c>
      <c r="D562" t="s">
        <v>20</v>
      </c>
      <c r="E562">
        <v>25</v>
      </c>
      <c r="F562" t="s">
        <v>195</v>
      </c>
      <c r="G562" t="s">
        <v>33</v>
      </c>
      <c r="H562" s="6" t="s">
        <v>1853</v>
      </c>
      <c r="I562" s="11">
        <v>89944.67</v>
      </c>
      <c r="J562" t="s">
        <v>243</v>
      </c>
      <c r="K562">
        <v>-4064242955</v>
      </c>
      <c r="L562" t="s">
        <v>41</v>
      </c>
      <c r="M562" t="b">
        <v>0</v>
      </c>
      <c r="N562" s="17">
        <f t="shared" si="8"/>
        <v>45024</v>
      </c>
      <c r="O562" t="str">
        <f>LEFT(Table1[[#This Row],[Department_Region]], FIND("-", Table1[[#This Row],[Department_Region]]) - 1)</f>
        <v>HR</v>
      </c>
      <c r="P562" t="str">
        <f>RIGHT(Table1[[#This Row],[Department_Region]],LEN(Table1[[#This Row],[Department_Region]]) - FIND("-",Table1[[#This Row],[Department_Region]]))</f>
        <v>Illinois</v>
      </c>
      <c r="Q5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2" s="15"/>
    </row>
    <row r="563" spans="1:18" x14ac:dyDescent="0.2">
      <c r="A563" s="1">
        <v>561</v>
      </c>
      <c r="B563" s="6" t="s">
        <v>1007</v>
      </c>
      <c r="C563" t="s">
        <v>69</v>
      </c>
      <c r="D563" t="s">
        <v>38</v>
      </c>
      <c r="E563">
        <v>32</v>
      </c>
      <c r="F563" t="s">
        <v>215</v>
      </c>
      <c r="G563" t="s">
        <v>16</v>
      </c>
      <c r="H563" s="6" t="s">
        <v>1854</v>
      </c>
      <c r="I563" s="11">
        <v>57452.93</v>
      </c>
      <c r="J563" t="s">
        <v>72</v>
      </c>
      <c r="K563">
        <v>-3343244740</v>
      </c>
      <c r="L563" t="s">
        <v>30</v>
      </c>
      <c r="M563" t="b">
        <v>1</v>
      </c>
      <c r="N563" s="17">
        <f t="shared" si="8"/>
        <v>44901</v>
      </c>
      <c r="O563" t="str">
        <f>LEFT(Table1[[#This Row],[Department_Region]], FIND("-", Table1[[#This Row],[Department_Region]]) - 1)</f>
        <v>HR</v>
      </c>
      <c r="P563" t="str">
        <f>RIGHT(Table1[[#This Row],[Department_Region]],LEN(Table1[[#This Row],[Department_Region]]) - FIND("-",Table1[[#This Row],[Department_Region]]))</f>
        <v>Florida</v>
      </c>
      <c r="Q5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63" s="15"/>
    </row>
    <row r="564" spans="1:18" x14ac:dyDescent="0.2">
      <c r="A564" s="1">
        <v>562</v>
      </c>
      <c r="B564" s="6" t="s">
        <v>1008</v>
      </c>
      <c r="C564" t="s">
        <v>25</v>
      </c>
      <c r="D564" t="s">
        <v>14</v>
      </c>
      <c r="E564">
        <v>25</v>
      </c>
      <c r="F564" t="s">
        <v>120</v>
      </c>
      <c r="G564" t="s">
        <v>16</v>
      </c>
      <c r="H564" s="6" t="s">
        <v>1855</v>
      </c>
      <c r="I564" s="11">
        <v>97837.32</v>
      </c>
      <c r="J564" t="s">
        <v>165</v>
      </c>
      <c r="K564">
        <v>-7595587208</v>
      </c>
      <c r="L564" t="s">
        <v>23</v>
      </c>
      <c r="M564" t="b">
        <v>0</v>
      </c>
      <c r="N564" s="17">
        <f t="shared" si="8"/>
        <v>44417</v>
      </c>
      <c r="O564" t="str">
        <f>LEFT(Table1[[#This Row],[Department_Region]], FIND("-", Table1[[#This Row],[Department_Region]]) - 1)</f>
        <v>Admin</v>
      </c>
      <c r="P564" t="str">
        <f>RIGHT(Table1[[#This Row],[Department_Region]],LEN(Table1[[#This Row],[Department_Region]]) - FIND("-",Table1[[#This Row],[Department_Region]]))</f>
        <v>California</v>
      </c>
      <c r="Q5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4" s="15"/>
    </row>
    <row r="565" spans="1:18" x14ac:dyDescent="0.2">
      <c r="A565" s="1">
        <v>563</v>
      </c>
      <c r="B565" s="6" t="s">
        <v>1009</v>
      </c>
      <c r="C565" t="s">
        <v>25</v>
      </c>
      <c r="D565" t="s">
        <v>14</v>
      </c>
      <c r="E565">
        <v>35</v>
      </c>
      <c r="F565" t="s">
        <v>90</v>
      </c>
      <c r="G565" t="s">
        <v>16</v>
      </c>
      <c r="H565" s="6" t="s">
        <v>1823</v>
      </c>
      <c r="I565" s="11">
        <v>106981.84</v>
      </c>
      <c r="J565" t="s">
        <v>165</v>
      </c>
      <c r="K565">
        <v>-6289365434</v>
      </c>
      <c r="L565" t="s">
        <v>41</v>
      </c>
      <c r="M565" t="b">
        <v>1</v>
      </c>
      <c r="N565" s="17">
        <f t="shared" si="8"/>
        <v>44565</v>
      </c>
      <c r="O565" t="str">
        <f>LEFT(Table1[[#This Row],[Department_Region]], FIND("-", Table1[[#This Row],[Department_Region]]) - 1)</f>
        <v>Admin</v>
      </c>
      <c r="P565" t="str">
        <f>RIGHT(Table1[[#This Row],[Department_Region]],LEN(Table1[[#This Row],[Department_Region]]) - FIND("-",Table1[[#This Row],[Department_Region]]))</f>
        <v>Illinois</v>
      </c>
      <c r="Q5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5" s="15"/>
    </row>
    <row r="566" spans="1:18" x14ac:dyDescent="0.2">
      <c r="A566" s="1">
        <v>564</v>
      </c>
      <c r="B566" s="6" t="s">
        <v>1010</v>
      </c>
      <c r="C566" t="s">
        <v>59</v>
      </c>
      <c r="D566" t="s">
        <v>20</v>
      </c>
      <c r="E566">
        <v>32</v>
      </c>
      <c r="F566" t="s">
        <v>230</v>
      </c>
      <c r="G566" t="s">
        <v>28</v>
      </c>
      <c r="H566" s="6" t="s">
        <v>1011</v>
      </c>
      <c r="I566" s="11">
        <v>105778.36</v>
      </c>
      <c r="J566" t="s">
        <v>228</v>
      </c>
      <c r="K566">
        <v>-8841834373</v>
      </c>
      <c r="L566" t="s">
        <v>30</v>
      </c>
      <c r="M566" t="b">
        <v>1</v>
      </c>
      <c r="N566" s="17">
        <f t="shared" si="8"/>
        <v>45437</v>
      </c>
      <c r="O566" t="str">
        <f>LEFT(Table1[[#This Row],[Department_Region]], FIND("-", Table1[[#This Row],[Department_Region]]) - 1)</f>
        <v>Finance</v>
      </c>
      <c r="P566" t="str">
        <f>RIGHT(Table1[[#This Row],[Department_Region]],LEN(Table1[[#This Row],[Department_Region]]) - FIND("-",Table1[[#This Row],[Department_Region]]))</f>
        <v>New York</v>
      </c>
      <c r="Q5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6" s="15"/>
    </row>
    <row r="567" spans="1:18" x14ac:dyDescent="0.2">
      <c r="A567" s="1">
        <v>565</v>
      </c>
      <c r="B567" s="6" t="s">
        <v>1012</v>
      </c>
      <c r="C567" t="s">
        <v>25</v>
      </c>
      <c r="D567" t="s">
        <v>55</v>
      </c>
      <c r="E567">
        <v>40</v>
      </c>
      <c r="F567" t="s">
        <v>113</v>
      </c>
      <c r="G567" t="s">
        <v>28</v>
      </c>
      <c r="H567" s="6" t="s">
        <v>1733</v>
      </c>
      <c r="I567" s="11">
        <v>117608.32000000001</v>
      </c>
      <c r="J567" t="s">
        <v>152</v>
      </c>
      <c r="K567">
        <v>-182727954</v>
      </c>
      <c r="L567" t="s">
        <v>30</v>
      </c>
      <c r="M567" t="b">
        <v>1</v>
      </c>
      <c r="N567" s="17">
        <f t="shared" si="8"/>
        <v>44471</v>
      </c>
      <c r="O567" t="str">
        <f>LEFT(Table1[[#This Row],[Department_Region]], FIND("-", Table1[[#This Row],[Department_Region]]) - 1)</f>
        <v>Finance</v>
      </c>
      <c r="P567" t="str">
        <f>RIGHT(Table1[[#This Row],[Department_Region]],LEN(Table1[[#This Row],[Department_Region]]) - FIND("-",Table1[[#This Row],[Department_Region]]))</f>
        <v>Florida</v>
      </c>
      <c r="Q5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7" s="15"/>
    </row>
    <row r="568" spans="1:18" x14ac:dyDescent="0.2">
      <c r="A568" s="1">
        <v>566</v>
      </c>
      <c r="B568" s="6" t="s">
        <v>1013</v>
      </c>
      <c r="C568" t="s">
        <v>32</v>
      </c>
      <c r="D568" t="s">
        <v>55</v>
      </c>
      <c r="E568">
        <v>30</v>
      </c>
      <c r="F568" t="s">
        <v>75</v>
      </c>
      <c r="G568" t="s">
        <v>16</v>
      </c>
      <c r="H568" s="6" t="s">
        <v>1014</v>
      </c>
      <c r="I568" s="11">
        <v>99324.03</v>
      </c>
      <c r="J568" t="s">
        <v>327</v>
      </c>
      <c r="K568">
        <v>-9690515025</v>
      </c>
      <c r="L568" t="s">
        <v>23</v>
      </c>
      <c r="M568" t="b">
        <v>0</v>
      </c>
      <c r="N568" s="17">
        <f t="shared" si="8"/>
        <v>45128</v>
      </c>
      <c r="O568" t="str">
        <f>LEFT(Table1[[#This Row],[Department_Region]], FIND("-", Table1[[#This Row],[Department_Region]]) - 1)</f>
        <v>Sales</v>
      </c>
      <c r="P568" t="str">
        <f>RIGHT(Table1[[#This Row],[Department_Region]],LEN(Table1[[#This Row],[Department_Region]]) - FIND("-",Table1[[#This Row],[Department_Region]]))</f>
        <v>Florida</v>
      </c>
      <c r="Q5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68" s="15"/>
    </row>
    <row r="569" spans="1:18" x14ac:dyDescent="0.2">
      <c r="A569" s="1">
        <v>567</v>
      </c>
      <c r="B569" s="6" t="s">
        <v>1015</v>
      </c>
      <c r="C569" t="s">
        <v>59</v>
      </c>
      <c r="D569" t="s">
        <v>43</v>
      </c>
      <c r="E569">
        <v>30</v>
      </c>
      <c r="F569" t="s">
        <v>215</v>
      </c>
      <c r="G569" t="s">
        <v>16</v>
      </c>
      <c r="H569" s="6" t="s">
        <v>1016</v>
      </c>
      <c r="I569" s="11">
        <v>55212.83</v>
      </c>
      <c r="J569" t="s">
        <v>102</v>
      </c>
      <c r="K569">
        <v>-7551254277</v>
      </c>
      <c r="L569" t="s">
        <v>23</v>
      </c>
      <c r="M569" t="b">
        <v>1</v>
      </c>
      <c r="N569" s="17">
        <f t="shared" si="8"/>
        <v>45229</v>
      </c>
      <c r="O569" t="str">
        <f>LEFT(Table1[[#This Row],[Department_Region]], FIND("-", Table1[[#This Row],[Department_Region]]) - 1)</f>
        <v>HR</v>
      </c>
      <c r="P569" t="str">
        <f>RIGHT(Table1[[#This Row],[Department_Region]],LEN(Table1[[#This Row],[Department_Region]]) - FIND("-",Table1[[#This Row],[Department_Region]]))</f>
        <v>Florida</v>
      </c>
      <c r="Q5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69" s="15"/>
    </row>
    <row r="570" spans="1:18" x14ac:dyDescent="0.2">
      <c r="A570" s="1">
        <v>568</v>
      </c>
      <c r="B570" s="6" t="s">
        <v>1017</v>
      </c>
      <c r="C570" t="s">
        <v>13</v>
      </c>
      <c r="D570" t="s">
        <v>14</v>
      </c>
      <c r="E570">
        <v>40</v>
      </c>
      <c r="F570" t="s">
        <v>39</v>
      </c>
      <c r="G570" t="s">
        <v>33</v>
      </c>
      <c r="H570" s="6" t="s">
        <v>1018</v>
      </c>
      <c r="I570" s="11">
        <v>68496.77</v>
      </c>
      <c r="J570" t="s">
        <v>17</v>
      </c>
      <c r="K570">
        <v>-2079799666</v>
      </c>
      <c r="L570" t="s">
        <v>18</v>
      </c>
      <c r="M570" t="b">
        <v>0</v>
      </c>
      <c r="N570" s="17">
        <f t="shared" si="8"/>
        <v>44970</v>
      </c>
      <c r="O570" t="str">
        <f>LEFT(Table1[[#This Row],[Department_Region]], FIND("-", Table1[[#This Row],[Department_Region]]) - 1)</f>
        <v>Cloud Tech</v>
      </c>
      <c r="P570" t="str">
        <f>RIGHT(Table1[[#This Row],[Department_Region]],LEN(Table1[[#This Row],[Department_Region]]) - FIND("-",Table1[[#This Row],[Department_Region]]))</f>
        <v>Florida</v>
      </c>
      <c r="Q5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70" s="15"/>
    </row>
    <row r="571" spans="1:18" x14ac:dyDescent="0.2">
      <c r="A571" s="1">
        <v>569</v>
      </c>
      <c r="B571" s="6" t="s">
        <v>1019</v>
      </c>
      <c r="C571" t="s">
        <v>32</v>
      </c>
      <c r="D571" t="s">
        <v>14</v>
      </c>
      <c r="E571">
        <v>25</v>
      </c>
      <c r="F571" t="s">
        <v>215</v>
      </c>
      <c r="G571" t="s">
        <v>28</v>
      </c>
      <c r="H571" s="6" t="s">
        <v>622</v>
      </c>
      <c r="I571" s="11">
        <v>52795.839999999997</v>
      </c>
      <c r="J571" t="s">
        <v>35</v>
      </c>
      <c r="K571">
        <v>-3459576402</v>
      </c>
      <c r="L571" t="s">
        <v>41</v>
      </c>
      <c r="M571" t="b">
        <v>0</v>
      </c>
      <c r="N571" s="17">
        <f t="shared" si="8"/>
        <v>44148</v>
      </c>
      <c r="O571" t="str">
        <f>LEFT(Table1[[#This Row],[Department_Region]], FIND("-", Table1[[#This Row],[Department_Region]]) - 1)</f>
        <v>HR</v>
      </c>
      <c r="P571" t="str">
        <f>RIGHT(Table1[[#This Row],[Department_Region]],LEN(Table1[[#This Row],[Department_Region]]) - FIND("-",Table1[[#This Row],[Department_Region]]))</f>
        <v>Florida</v>
      </c>
      <c r="Q5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1" s="15"/>
    </row>
    <row r="572" spans="1:18" x14ac:dyDescent="0.2">
      <c r="A572" s="1">
        <v>570</v>
      </c>
      <c r="B572" s="6" t="s">
        <v>1020</v>
      </c>
      <c r="C572" t="s">
        <v>25</v>
      </c>
      <c r="D572" t="s">
        <v>93</v>
      </c>
      <c r="E572">
        <v>32</v>
      </c>
      <c r="F572" t="s">
        <v>15</v>
      </c>
      <c r="G572" t="s">
        <v>33</v>
      </c>
      <c r="H572" s="6" t="s">
        <v>1731</v>
      </c>
      <c r="I572" s="11">
        <v>90087.39</v>
      </c>
      <c r="J572" t="s">
        <v>168</v>
      </c>
      <c r="K572">
        <v>-8166496901</v>
      </c>
      <c r="L572" t="s">
        <v>41</v>
      </c>
      <c r="M572" t="b">
        <v>0</v>
      </c>
      <c r="N572" s="17">
        <f t="shared" si="8"/>
        <v>45448</v>
      </c>
      <c r="O572" t="str">
        <f>LEFT(Table1[[#This Row],[Department_Region]], FIND("-", Table1[[#This Row],[Department_Region]]) - 1)</f>
        <v>DevOps</v>
      </c>
      <c r="P572" t="str">
        <f>RIGHT(Table1[[#This Row],[Department_Region]],LEN(Table1[[#This Row],[Department_Region]]) - FIND("-",Table1[[#This Row],[Department_Region]]))</f>
        <v>California</v>
      </c>
      <c r="Q5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2" s="15"/>
    </row>
    <row r="573" spans="1:18" x14ac:dyDescent="0.2">
      <c r="A573" s="1">
        <v>571</v>
      </c>
      <c r="B573" s="6" t="s">
        <v>1021</v>
      </c>
      <c r="C573" t="s">
        <v>37</v>
      </c>
      <c r="D573" t="s">
        <v>38</v>
      </c>
      <c r="E573">
        <v>32</v>
      </c>
      <c r="F573" t="s">
        <v>199</v>
      </c>
      <c r="G573" t="s">
        <v>28</v>
      </c>
      <c r="H573" s="6" t="s">
        <v>1022</v>
      </c>
      <c r="I573" s="11">
        <v>105038.08</v>
      </c>
      <c r="J573" t="s">
        <v>40</v>
      </c>
      <c r="K573">
        <v>-8249839224</v>
      </c>
      <c r="L573" t="s">
        <v>18</v>
      </c>
      <c r="M573" t="b">
        <v>0</v>
      </c>
      <c r="N573" s="17">
        <f t="shared" si="8"/>
        <v>43970</v>
      </c>
      <c r="O573" t="str">
        <f>LEFT(Table1[[#This Row],[Department_Region]], FIND("-", Table1[[#This Row],[Department_Region]]) - 1)</f>
        <v>Admin</v>
      </c>
      <c r="P573" t="str">
        <f>RIGHT(Table1[[#This Row],[Department_Region]],LEN(Table1[[#This Row],[Department_Region]]) - FIND("-",Table1[[#This Row],[Department_Region]]))</f>
        <v>New York</v>
      </c>
      <c r="Q5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73" s="15"/>
    </row>
    <row r="574" spans="1:18" x14ac:dyDescent="0.2">
      <c r="A574" s="1">
        <v>572</v>
      </c>
      <c r="B574" s="6" t="s">
        <v>1023</v>
      </c>
      <c r="C574" t="s">
        <v>69</v>
      </c>
      <c r="D574" t="s">
        <v>124</v>
      </c>
      <c r="E574">
        <v>25</v>
      </c>
      <c r="F574" t="s">
        <v>66</v>
      </c>
      <c r="G574" t="s">
        <v>16</v>
      </c>
      <c r="H574" s="6" t="s">
        <v>1024</v>
      </c>
      <c r="I574" s="11">
        <v>73231.850000000006</v>
      </c>
      <c r="J574" t="s">
        <v>137</v>
      </c>
      <c r="K574">
        <v>-142576269</v>
      </c>
      <c r="L574" t="s">
        <v>41</v>
      </c>
      <c r="M574" t="b">
        <v>0</v>
      </c>
      <c r="N574" s="17">
        <f t="shared" si="8"/>
        <v>45189</v>
      </c>
      <c r="O574" t="str">
        <f>LEFT(Table1[[#This Row],[Department_Region]], FIND("-", Table1[[#This Row],[Department_Region]]) - 1)</f>
        <v>HR</v>
      </c>
      <c r="P574" t="str">
        <f>RIGHT(Table1[[#This Row],[Department_Region]],LEN(Table1[[#This Row],[Department_Region]]) - FIND("-",Table1[[#This Row],[Department_Region]]))</f>
        <v>New York</v>
      </c>
      <c r="Q5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4" s="15"/>
    </row>
    <row r="575" spans="1:18" x14ac:dyDescent="0.2">
      <c r="A575" s="1">
        <v>573</v>
      </c>
      <c r="B575" s="6" t="s">
        <v>1025</v>
      </c>
      <c r="C575" t="s">
        <v>59</v>
      </c>
      <c r="D575" t="s">
        <v>55</v>
      </c>
      <c r="E575">
        <v>32</v>
      </c>
      <c r="F575" t="s">
        <v>75</v>
      </c>
      <c r="G575" t="s">
        <v>28</v>
      </c>
      <c r="H575" s="6" t="s">
        <v>1026</v>
      </c>
      <c r="I575" s="11">
        <v>102649.36</v>
      </c>
      <c r="J575" t="s">
        <v>220</v>
      </c>
      <c r="K575">
        <v>-2324412335</v>
      </c>
      <c r="L575" t="s">
        <v>41</v>
      </c>
      <c r="M575" t="b">
        <v>0</v>
      </c>
      <c r="N575" s="17">
        <f t="shared" si="8"/>
        <v>45517</v>
      </c>
      <c r="O575" t="str">
        <f>LEFT(Table1[[#This Row],[Department_Region]], FIND("-", Table1[[#This Row],[Department_Region]]) - 1)</f>
        <v>Sales</v>
      </c>
      <c r="P575" t="str">
        <f>RIGHT(Table1[[#This Row],[Department_Region]],LEN(Table1[[#This Row],[Department_Region]]) - FIND("-",Table1[[#This Row],[Department_Region]]))</f>
        <v>Florida</v>
      </c>
      <c r="Q5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75" s="15"/>
    </row>
    <row r="576" spans="1:18" x14ac:dyDescent="0.2">
      <c r="A576" s="1">
        <v>574</v>
      </c>
      <c r="B576" s="6" t="s">
        <v>1027</v>
      </c>
      <c r="C576" t="s">
        <v>13</v>
      </c>
      <c r="D576" t="s">
        <v>14</v>
      </c>
      <c r="E576">
        <v>35</v>
      </c>
      <c r="F576" t="s">
        <v>230</v>
      </c>
      <c r="G576" t="s">
        <v>28</v>
      </c>
      <c r="H576" s="6" t="s">
        <v>1856</v>
      </c>
      <c r="I576" s="11">
        <v>114302.51</v>
      </c>
      <c r="J576" t="s">
        <v>17</v>
      </c>
      <c r="K576">
        <v>-1328507250</v>
      </c>
      <c r="L576" t="s">
        <v>41</v>
      </c>
      <c r="M576" t="b">
        <v>0</v>
      </c>
      <c r="N576" s="17">
        <f t="shared" si="8"/>
        <v>45087</v>
      </c>
      <c r="O576" t="str">
        <f>LEFT(Table1[[#This Row],[Department_Region]], FIND("-", Table1[[#This Row],[Department_Region]]) - 1)</f>
        <v>Finance</v>
      </c>
      <c r="P576" t="str">
        <f>RIGHT(Table1[[#This Row],[Department_Region]],LEN(Table1[[#This Row],[Department_Region]]) - FIND("-",Table1[[#This Row],[Department_Region]]))</f>
        <v>New York</v>
      </c>
      <c r="Q5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76" s="15"/>
    </row>
    <row r="577" spans="1:18" x14ac:dyDescent="0.2">
      <c r="A577" s="1">
        <v>575</v>
      </c>
      <c r="B577" s="6" t="s">
        <v>1028</v>
      </c>
      <c r="C577" t="s">
        <v>25</v>
      </c>
      <c r="D577" t="s">
        <v>93</v>
      </c>
      <c r="E577">
        <v>35</v>
      </c>
      <c r="F577" t="s">
        <v>21</v>
      </c>
      <c r="G577" t="s">
        <v>33</v>
      </c>
      <c r="H577" s="6" t="s">
        <v>1857</v>
      </c>
      <c r="I577" s="11">
        <v>87816.61</v>
      </c>
      <c r="J577" t="s">
        <v>168</v>
      </c>
      <c r="K577">
        <v>-7863767315</v>
      </c>
      <c r="L577" t="s">
        <v>41</v>
      </c>
      <c r="M577" t="b">
        <v>0</v>
      </c>
      <c r="N577" s="17">
        <f t="shared" si="8"/>
        <v>44356</v>
      </c>
      <c r="O577" t="str">
        <f>LEFT(Table1[[#This Row],[Department_Region]], FIND("-", Table1[[#This Row],[Department_Region]]) - 1)</f>
        <v>Finance</v>
      </c>
      <c r="P577" t="str">
        <f>RIGHT(Table1[[#This Row],[Department_Region]],LEN(Table1[[#This Row],[Department_Region]]) - FIND("-",Table1[[#This Row],[Department_Region]]))</f>
        <v>Texas</v>
      </c>
      <c r="Q5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7" s="15"/>
    </row>
    <row r="578" spans="1:18" x14ac:dyDescent="0.2">
      <c r="A578" s="1">
        <v>576</v>
      </c>
      <c r="B578" s="6" t="s">
        <v>1029</v>
      </c>
      <c r="C578" t="s">
        <v>37</v>
      </c>
      <c r="D578" t="s">
        <v>26</v>
      </c>
      <c r="E578">
        <v>32</v>
      </c>
      <c r="F578" t="s">
        <v>75</v>
      </c>
      <c r="G578" t="s">
        <v>33</v>
      </c>
      <c r="H578" s="6" t="s">
        <v>331</v>
      </c>
      <c r="I578" s="11">
        <v>70750.38</v>
      </c>
      <c r="J578" t="s">
        <v>47</v>
      </c>
      <c r="K578">
        <v>-2526546967</v>
      </c>
      <c r="L578" t="s">
        <v>41</v>
      </c>
      <c r="M578" t="b">
        <v>0</v>
      </c>
      <c r="N578" s="17">
        <f t="shared" ref="N578:N641" si="9">IF(ISNUMBER(H578), H578, DATE(RIGHT(H578, 4), LEFT(H578, FIND("/", H578) - 1), MID(H578, FIND("/", H578) + 1, FIND("/", H578, FIND("/", H578) + 1) - FIND("/", H578) - 1)))</f>
        <v>43920</v>
      </c>
      <c r="O578" t="str">
        <f>LEFT(Table1[[#This Row],[Department_Region]], FIND("-", Table1[[#This Row],[Department_Region]]) - 1)</f>
        <v>Sales</v>
      </c>
      <c r="P578" t="str">
        <f>RIGHT(Table1[[#This Row],[Department_Region]],LEN(Table1[[#This Row],[Department_Region]]) - FIND("-",Table1[[#This Row],[Department_Region]]))</f>
        <v>Florida</v>
      </c>
      <c r="Q5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8" s="15"/>
    </row>
    <row r="579" spans="1:18" x14ac:dyDescent="0.2">
      <c r="A579" s="1">
        <v>577</v>
      </c>
      <c r="B579" s="6" t="s">
        <v>1030</v>
      </c>
      <c r="C579" t="s">
        <v>37</v>
      </c>
      <c r="D579" t="s">
        <v>93</v>
      </c>
      <c r="E579">
        <v>32</v>
      </c>
      <c r="F579" t="s">
        <v>161</v>
      </c>
      <c r="G579" t="s">
        <v>16</v>
      </c>
      <c r="H579" s="6" t="s">
        <v>1858</v>
      </c>
      <c r="I579" s="11">
        <v>85165.05</v>
      </c>
      <c r="J579" t="s">
        <v>111</v>
      </c>
      <c r="K579">
        <v>-1579039234</v>
      </c>
      <c r="L579" t="s">
        <v>23</v>
      </c>
      <c r="M579" t="b">
        <v>1</v>
      </c>
      <c r="N579" s="17">
        <f t="shared" si="9"/>
        <v>45414</v>
      </c>
      <c r="O579" t="str">
        <f>LEFT(Table1[[#This Row],[Department_Region]], FIND("-", Table1[[#This Row],[Department_Region]]) - 1)</f>
        <v>Cloud Tech</v>
      </c>
      <c r="P579" t="str">
        <f>RIGHT(Table1[[#This Row],[Department_Region]],LEN(Table1[[#This Row],[Department_Region]]) - FIND("-",Table1[[#This Row],[Department_Region]]))</f>
        <v>Texas</v>
      </c>
      <c r="Q5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79" s="15"/>
    </row>
    <row r="580" spans="1:18" x14ac:dyDescent="0.2">
      <c r="A580" s="1">
        <v>578</v>
      </c>
      <c r="B580" s="6" t="s">
        <v>1031</v>
      </c>
      <c r="C580" t="s">
        <v>13</v>
      </c>
      <c r="D580" t="s">
        <v>55</v>
      </c>
      <c r="E580">
        <v>30</v>
      </c>
      <c r="F580" t="s">
        <v>333</v>
      </c>
      <c r="G580" t="s">
        <v>16</v>
      </c>
      <c r="H580" s="6" t="s">
        <v>1859</v>
      </c>
      <c r="I580" s="11">
        <v>97978.36</v>
      </c>
      <c r="J580" t="s">
        <v>202</v>
      </c>
      <c r="K580">
        <v>-5580996131</v>
      </c>
      <c r="L580" t="s">
        <v>41</v>
      </c>
      <c r="M580" t="b">
        <v>1</v>
      </c>
      <c r="N580" s="17">
        <f t="shared" si="9"/>
        <v>45602</v>
      </c>
      <c r="O580" t="str">
        <f>LEFT(Table1[[#This Row],[Department_Region]], FIND("-", Table1[[#This Row],[Department_Region]]) - 1)</f>
        <v>DevOps</v>
      </c>
      <c r="P580" t="str">
        <f>RIGHT(Table1[[#This Row],[Department_Region]],LEN(Table1[[#This Row],[Department_Region]]) - FIND("-",Table1[[#This Row],[Department_Region]]))</f>
        <v>Nevada</v>
      </c>
      <c r="Q5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80" s="15"/>
    </row>
    <row r="581" spans="1:18" x14ac:dyDescent="0.2">
      <c r="A581" s="1">
        <v>579</v>
      </c>
      <c r="B581" s="6" t="s">
        <v>1032</v>
      </c>
      <c r="C581" t="s">
        <v>59</v>
      </c>
      <c r="D581" t="s">
        <v>55</v>
      </c>
      <c r="E581">
        <v>32</v>
      </c>
      <c r="F581" t="s">
        <v>333</v>
      </c>
      <c r="G581" t="s">
        <v>33</v>
      </c>
      <c r="H581" s="6" t="s">
        <v>1033</v>
      </c>
      <c r="I581" s="11">
        <v>107172.8</v>
      </c>
      <c r="J581" t="s">
        <v>220</v>
      </c>
      <c r="K581">
        <v>-7303461561</v>
      </c>
      <c r="L581" t="s">
        <v>23</v>
      </c>
      <c r="M581" t="b">
        <v>1</v>
      </c>
      <c r="N581" s="17">
        <f t="shared" si="9"/>
        <v>45155</v>
      </c>
      <c r="O581" t="str">
        <f>LEFT(Table1[[#This Row],[Department_Region]], FIND("-", Table1[[#This Row],[Department_Region]]) - 1)</f>
        <v>DevOps</v>
      </c>
      <c r="P581" t="str">
        <f>RIGHT(Table1[[#This Row],[Department_Region]],LEN(Table1[[#This Row],[Department_Region]]) - FIND("-",Table1[[#This Row],[Department_Region]]))</f>
        <v>Nevada</v>
      </c>
      <c r="Q5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81" s="15"/>
    </row>
    <row r="582" spans="1:18" x14ac:dyDescent="0.2">
      <c r="A582" s="1">
        <v>580</v>
      </c>
      <c r="B582" s="6" t="s">
        <v>1034</v>
      </c>
      <c r="C582" t="s">
        <v>54</v>
      </c>
      <c r="D582" t="s">
        <v>93</v>
      </c>
      <c r="E582">
        <v>25</v>
      </c>
      <c r="F582" t="s">
        <v>101</v>
      </c>
      <c r="G582" t="s">
        <v>33</v>
      </c>
      <c r="H582" s="6" t="s">
        <v>841</v>
      </c>
      <c r="I582" s="11">
        <v>56126.46</v>
      </c>
      <c r="J582" t="s">
        <v>508</v>
      </c>
      <c r="K582">
        <v>-6244670461</v>
      </c>
      <c r="L582" t="s">
        <v>41</v>
      </c>
      <c r="M582" t="b">
        <v>1</v>
      </c>
      <c r="N582" s="17">
        <f t="shared" si="9"/>
        <v>43908</v>
      </c>
      <c r="O582" t="str">
        <f>LEFT(Table1[[#This Row],[Department_Region]], FIND("-", Table1[[#This Row],[Department_Region]]) - 1)</f>
        <v>Finance</v>
      </c>
      <c r="P582" t="str">
        <f>RIGHT(Table1[[#This Row],[Department_Region]],LEN(Table1[[#This Row],[Department_Region]]) - FIND("-",Table1[[#This Row],[Department_Region]]))</f>
        <v>Nevada</v>
      </c>
      <c r="Q5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82" s="15"/>
    </row>
    <row r="583" spans="1:18" x14ac:dyDescent="0.2">
      <c r="A583" s="1">
        <v>581</v>
      </c>
      <c r="B583" s="6" t="s">
        <v>1035</v>
      </c>
      <c r="C583" t="s">
        <v>32</v>
      </c>
      <c r="D583" t="s">
        <v>124</v>
      </c>
      <c r="E583">
        <v>32</v>
      </c>
      <c r="F583" t="s">
        <v>96</v>
      </c>
      <c r="G583" t="s">
        <v>16</v>
      </c>
      <c r="H583" s="6" t="s">
        <v>1036</v>
      </c>
      <c r="I583" s="11">
        <v>78534.289999999994</v>
      </c>
      <c r="J583" t="s">
        <v>529</v>
      </c>
      <c r="K583">
        <v>-2681715159</v>
      </c>
      <c r="L583" t="s">
        <v>18</v>
      </c>
      <c r="M583" t="b">
        <v>1</v>
      </c>
      <c r="N583" s="17">
        <f t="shared" si="9"/>
        <v>44360</v>
      </c>
      <c r="O583" t="str">
        <f>LEFT(Table1[[#This Row],[Department_Region]], FIND("-", Table1[[#This Row],[Department_Region]]) - 1)</f>
        <v>Cloud Tech</v>
      </c>
      <c r="P583" t="str">
        <f>RIGHT(Table1[[#This Row],[Department_Region]],LEN(Table1[[#This Row],[Department_Region]]) - FIND("-",Table1[[#This Row],[Department_Region]]))</f>
        <v>Illinois</v>
      </c>
      <c r="Q5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83" s="15"/>
    </row>
    <row r="584" spans="1:18" x14ac:dyDescent="0.2">
      <c r="A584" s="1">
        <v>582</v>
      </c>
      <c r="B584" s="6" t="s">
        <v>1037</v>
      </c>
      <c r="C584" t="s">
        <v>69</v>
      </c>
      <c r="D584" t="s">
        <v>20</v>
      </c>
      <c r="E584">
        <v>40</v>
      </c>
      <c r="F584" t="s">
        <v>141</v>
      </c>
      <c r="G584" t="s">
        <v>33</v>
      </c>
      <c r="H584" s="6" t="s">
        <v>1038</v>
      </c>
      <c r="I584" s="11">
        <v>85165.05</v>
      </c>
      <c r="J584" t="s">
        <v>204</v>
      </c>
      <c r="K584">
        <v>-2529867075</v>
      </c>
      <c r="L584" t="s">
        <v>30</v>
      </c>
      <c r="M584" t="b">
        <v>0</v>
      </c>
      <c r="N584" s="17">
        <f t="shared" si="9"/>
        <v>45209</v>
      </c>
      <c r="O584" t="str">
        <f>LEFT(Table1[[#This Row],[Department_Region]], FIND("-", Table1[[#This Row],[Department_Region]]) - 1)</f>
        <v>HR</v>
      </c>
      <c r="P584" t="str">
        <f>RIGHT(Table1[[#This Row],[Department_Region]],LEN(Table1[[#This Row],[Department_Region]]) - FIND("-",Table1[[#This Row],[Department_Region]]))</f>
        <v>Texas</v>
      </c>
      <c r="Q5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84" s="15"/>
    </row>
    <row r="585" spans="1:18" x14ac:dyDescent="0.2">
      <c r="A585" s="1">
        <v>583</v>
      </c>
      <c r="B585" s="6" t="s">
        <v>1039</v>
      </c>
      <c r="C585" t="s">
        <v>13</v>
      </c>
      <c r="D585" t="s">
        <v>55</v>
      </c>
      <c r="E585">
        <v>32</v>
      </c>
      <c r="F585" t="s">
        <v>86</v>
      </c>
      <c r="G585" t="s">
        <v>16</v>
      </c>
      <c r="H585" s="6" t="s">
        <v>1860</v>
      </c>
      <c r="I585" s="11">
        <v>114963.34</v>
      </c>
      <c r="J585" t="s">
        <v>202</v>
      </c>
      <c r="K585">
        <v>-6046419784</v>
      </c>
      <c r="L585" t="s">
        <v>23</v>
      </c>
      <c r="M585" t="b">
        <v>0</v>
      </c>
      <c r="N585" s="17">
        <f t="shared" si="9"/>
        <v>44563</v>
      </c>
      <c r="O585" t="str">
        <f>LEFT(Table1[[#This Row],[Department_Region]], FIND("-", Table1[[#This Row],[Department_Region]]) - 1)</f>
        <v>Cloud Tech</v>
      </c>
      <c r="P585" t="str">
        <f>RIGHT(Table1[[#This Row],[Department_Region]],LEN(Table1[[#This Row],[Department_Region]]) - FIND("-",Table1[[#This Row],[Department_Region]]))</f>
        <v>Nevada</v>
      </c>
      <c r="Q5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85" s="15"/>
    </row>
    <row r="586" spans="1:18" x14ac:dyDescent="0.2">
      <c r="A586" s="1">
        <v>584</v>
      </c>
      <c r="B586" s="6" t="s">
        <v>1040</v>
      </c>
      <c r="C586" t="s">
        <v>32</v>
      </c>
      <c r="D586" t="s">
        <v>93</v>
      </c>
      <c r="E586">
        <v>32</v>
      </c>
      <c r="F586" t="s">
        <v>272</v>
      </c>
      <c r="G586" t="s">
        <v>33</v>
      </c>
      <c r="H586" s="6" t="s">
        <v>1041</v>
      </c>
      <c r="I586" s="11">
        <v>77657.929999999993</v>
      </c>
      <c r="J586" t="s">
        <v>267</v>
      </c>
      <c r="K586">
        <v>-7585126860</v>
      </c>
      <c r="L586" t="s">
        <v>41</v>
      </c>
      <c r="M586" t="b">
        <v>0</v>
      </c>
      <c r="N586" s="17">
        <f t="shared" si="9"/>
        <v>44612</v>
      </c>
      <c r="O586" t="str">
        <f>LEFT(Table1[[#This Row],[Department_Region]], FIND("-", Table1[[#This Row],[Department_Region]]) - 1)</f>
        <v>Cloud Tech</v>
      </c>
      <c r="P586" t="str">
        <f>RIGHT(Table1[[#This Row],[Department_Region]],LEN(Table1[[#This Row],[Department_Region]]) - FIND("-",Table1[[#This Row],[Department_Region]]))</f>
        <v>California</v>
      </c>
      <c r="Q5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86" s="15"/>
    </row>
    <row r="587" spans="1:18" x14ac:dyDescent="0.2">
      <c r="A587" s="1">
        <v>585</v>
      </c>
      <c r="B587" s="6" t="s">
        <v>1042</v>
      </c>
      <c r="C587" t="s">
        <v>65</v>
      </c>
      <c r="D587" t="s">
        <v>14</v>
      </c>
      <c r="E587">
        <v>30</v>
      </c>
      <c r="F587" t="s">
        <v>110</v>
      </c>
      <c r="G587" t="s">
        <v>16</v>
      </c>
      <c r="H587" s="6" t="s">
        <v>1861</v>
      </c>
      <c r="I587" s="11">
        <v>77369.48</v>
      </c>
      <c r="J587" t="s">
        <v>400</v>
      </c>
      <c r="K587">
        <v>-2059438975</v>
      </c>
      <c r="L587" t="s">
        <v>18</v>
      </c>
      <c r="M587" t="b">
        <v>0</v>
      </c>
      <c r="N587" s="17">
        <f t="shared" si="9"/>
        <v>45360</v>
      </c>
      <c r="O587" t="str">
        <f>LEFT(Table1[[#This Row],[Department_Region]], FIND("-", Table1[[#This Row],[Department_Region]]) - 1)</f>
        <v>Sales</v>
      </c>
      <c r="P587" t="str">
        <f>RIGHT(Table1[[#This Row],[Department_Region]],LEN(Table1[[#This Row],[Department_Region]]) - FIND("-",Table1[[#This Row],[Department_Region]]))</f>
        <v>New York</v>
      </c>
      <c r="Q5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87" s="15"/>
    </row>
    <row r="588" spans="1:18" x14ac:dyDescent="0.2">
      <c r="A588" s="1">
        <v>586</v>
      </c>
      <c r="B588" s="6" t="s">
        <v>1043</v>
      </c>
      <c r="C588" t="s">
        <v>32</v>
      </c>
      <c r="D588" t="s">
        <v>93</v>
      </c>
      <c r="E588">
        <v>30</v>
      </c>
      <c r="F588" t="s">
        <v>151</v>
      </c>
      <c r="G588" t="s">
        <v>28</v>
      </c>
      <c r="H588" s="6" t="s">
        <v>1044</v>
      </c>
      <c r="I588" s="11">
        <v>76119.14</v>
      </c>
      <c r="J588" t="s">
        <v>267</v>
      </c>
      <c r="K588">
        <v>-740177508</v>
      </c>
      <c r="L588" t="s">
        <v>30</v>
      </c>
      <c r="M588" t="b">
        <v>0</v>
      </c>
      <c r="N588" s="17">
        <f t="shared" si="9"/>
        <v>45157</v>
      </c>
      <c r="O588" t="str">
        <f>LEFT(Table1[[#This Row],[Department_Region]], FIND("-", Table1[[#This Row],[Department_Region]]) - 1)</f>
        <v>HR</v>
      </c>
      <c r="P588" t="str">
        <f>RIGHT(Table1[[#This Row],[Department_Region]],LEN(Table1[[#This Row],[Department_Region]]) - FIND("-",Table1[[#This Row],[Department_Region]]))</f>
        <v>Nevada</v>
      </c>
      <c r="Q5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88" s="15"/>
    </row>
    <row r="589" spans="1:18" x14ac:dyDescent="0.2">
      <c r="A589" s="1">
        <v>587</v>
      </c>
      <c r="B589" s="6" t="s">
        <v>1045</v>
      </c>
      <c r="C589" t="s">
        <v>54</v>
      </c>
      <c r="D589" t="s">
        <v>38</v>
      </c>
      <c r="E589">
        <v>25</v>
      </c>
      <c r="F589" t="s">
        <v>161</v>
      </c>
      <c r="G589" t="s">
        <v>28</v>
      </c>
      <c r="H589" s="6" t="s">
        <v>1737</v>
      </c>
      <c r="I589" s="11">
        <v>77585.72</v>
      </c>
      <c r="J589" t="s">
        <v>91</v>
      </c>
      <c r="K589">
        <v>-5465408423</v>
      </c>
      <c r="L589" t="s">
        <v>23</v>
      </c>
      <c r="M589" t="b">
        <v>0</v>
      </c>
      <c r="N589" s="17">
        <f t="shared" si="9"/>
        <v>45052</v>
      </c>
      <c r="O589" t="str">
        <f>LEFT(Table1[[#This Row],[Department_Region]], FIND("-", Table1[[#This Row],[Department_Region]]) - 1)</f>
        <v>Cloud Tech</v>
      </c>
      <c r="P589" t="str">
        <f>RIGHT(Table1[[#This Row],[Department_Region]],LEN(Table1[[#This Row],[Department_Region]]) - FIND("-",Table1[[#This Row],[Department_Region]]))</f>
        <v>Texas</v>
      </c>
      <c r="Q5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89" s="15"/>
    </row>
    <row r="590" spans="1:18" x14ac:dyDescent="0.2">
      <c r="A590" s="1">
        <v>588</v>
      </c>
      <c r="B590" s="6" t="s">
        <v>1046</v>
      </c>
      <c r="C590" t="s">
        <v>13</v>
      </c>
      <c r="D590" t="s">
        <v>20</v>
      </c>
      <c r="E590">
        <v>35</v>
      </c>
      <c r="F590" t="s">
        <v>27</v>
      </c>
      <c r="G590" t="s">
        <v>28</v>
      </c>
      <c r="H590" s="6" t="s">
        <v>1047</v>
      </c>
      <c r="I590" s="11">
        <v>74069.62</v>
      </c>
      <c r="J590" t="s">
        <v>22</v>
      </c>
      <c r="K590">
        <v>-5607540914</v>
      </c>
      <c r="L590" t="s">
        <v>30</v>
      </c>
      <c r="M590" t="b">
        <v>0</v>
      </c>
      <c r="N590" s="17">
        <f t="shared" si="9"/>
        <v>45317</v>
      </c>
      <c r="O590" t="str">
        <f>LEFT(Table1[[#This Row],[Department_Region]], FIND("-", Table1[[#This Row],[Department_Region]]) - 1)</f>
        <v>Admin</v>
      </c>
      <c r="P590" t="str">
        <f>RIGHT(Table1[[#This Row],[Department_Region]],LEN(Table1[[#This Row],[Department_Region]]) - FIND("-",Table1[[#This Row],[Department_Region]]))</f>
        <v>Nevada</v>
      </c>
      <c r="Q5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90" s="15"/>
    </row>
    <row r="591" spans="1:18" x14ac:dyDescent="0.2">
      <c r="A591" s="1">
        <v>589</v>
      </c>
      <c r="B591" s="6" t="s">
        <v>1048</v>
      </c>
      <c r="C591" t="s">
        <v>54</v>
      </c>
      <c r="D591" t="s">
        <v>26</v>
      </c>
      <c r="E591">
        <v>30</v>
      </c>
      <c r="F591" t="s">
        <v>199</v>
      </c>
      <c r="G591" t="s">
        <v>28</v>
      </c>
      <c r="H591" s="6" t="s">
        <v>1717</v>
      </c>
      <c r="I591" s="11">
        <v>67691.92</v>
      </c>
      <c r="J591" t="s">
        <v>122</v>
      </c>
      <c r="K591">
        <v>-863218121</v>
      </c>
      <c r="L591" t="s">
        <v>18</v>
      </c>
      <c r="M591" t="b">
        <v>1</v>
      </c>
      <c r="N591" s="17">
        <f t="shared" si="9"/>
        <v>45540</v>
      </c>
      <c r="O591" t="str">
        <f>LEFT(Table1[[#This Row],[Department_Region]], FIND("-", Table1[[#This Row],[Department_Region]]) - 1)</f>
        <v>Admin</v>
      </c>
      <c r="P591" t="str">
        <f>RIGHT(Table1[[#This Row],[Department_Region]],LEN(Table1[[#This Row],[Department_Region]]) - FIND("-",Table1[[#This Row],[Department_Region]]))</f>
        <v>New York</v>
      </c>
      <c r="Q5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91" s="15"/>
    </row>
    <row r="592" spans="1:18" x14ac:dyDescent="0.2">
      <c r="A592" s="1">
        <v>590</v>
      </c>
      <c r="B592" s="6" t="s">
        <v>1049</v>
      </c>
      <c r="C592" t="s">
        <v>25</v>
      </c>
      <c r="D592" t="s">
        <v>124</v>
      </c>
      <c r="E592">
        <v>32</v>
      </c>
      <c r="F592" t="s">
        <v>101</v>
      </c>
      <c r="G592" t="s">
        <v>28</v>
      </c>
      <c r="H592" s="6" t="s">
        <v>1050</v>
      </c>
      <c r="I592" s="11">
        <v>70345.69</v>
      </c>
      <c r="J592" t="s">
        <v>185</v>
      </c>
      <c r="K592">
        <v>-7645793896</v>
      </c>
      <c r="L592" t="s">
        <v>23</v>
      </c>
      <c r="M592" t="b">
        <v>1</v>
      </c>
      <c r="N592" s="17">
        <f t="shared" si="9"/>
        <v>43980</v>
      </c>
      <c r="O592" t="str">
        <f>LEFT(Table1[[#This Row],[Department_Region]], FIND("-", Table1[[#This Row],[Department_Region]]) - 1)</f>
        <v>Finance</v>
      </c>
      <c r="P592" t="str">
        <f>RIGHT(Table1[[#This Row],[Department_Region]],LEN(Table1[[#This Row],[Department_Region]]) - FIND("-",Table1[[#This Row],[Department_Region]]))</f>
        <v>Nevada</v>
      </c>
      <c r="Q5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92" s="15"/>
    </row>
    <row r="593" spans="1:18" x14ac:dyDescent="0.2">
      <c r="A593" s="1">
        <v>591</v>
      </c>
      <c r="B593" s="6" t="s">
        <v>1051</v>
      </c>
      <c r="C593" t="s">
        <v>13</v>
      </c>
      <c r="D593" t="s">
        <v>43</v>
      </c>
      <c r="E593">
        <v>30</v>
      </c>
      <c r="F593" t="s">
        <v>79</v>
      </c>
      <c r="G593" t="s">
        <v>33</v>
      </c>
      <c r="H593" s="6" t="s">
        <v>1803</v>
      </c>
      <c r="I593" s="11">
        <v>74999.69</v>
      </c>
      <c r="J593" t="s">
        <v>155</v>
      </c>
      <c r="K593">
        <v>-155029167</v>
      </c>
      <c r="L593" t="s">
        <v>30</v>
      </c>
      <c r="M593" t="b">
        <v>1</v>
      </c>
      <c r="N593" s="17">
        <f t="shared" si="9"/>
        <v>44508</v>
      </c>
      <c r="O593" t="str">
        <f>LEFT(Table1[[#This Row],[Department_Region]], FIND("-", Table1[[#This Row],[Department_Region]]) - 1)</f>
        <v>DevOps</v>
      </c>
      <c r="P593" t="str">
        <f>RIGHT(Table1[[#This Row],[Department_Region]],LEN(Table1[[#This Row],[Department_Region]]) - FIND("-",Table1[[#This Row],[Department_Region]]))</f>
        <v>Illinois</v>
      </c>
      <c r="Q5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93" s="15"/>
    </row>
    <row r="594" spans="1:18" x14ac:dyDescent="0.2">
      <c r="A594" s="1">
        <v>592</v>
      </c>
      <c r="B594" s="6" t="s">
        <v>1052</v>
      </c>
      <c r="C594" t="s">
        <v>59</v>
      </c>
      <c r="D594" t="s">
        <v>26</v>
      </c>
      <c r="E594">
        <v>25</v>
      </c>
      <c r="F594" t="s">
        <v>195</v>
      </c>
      <c r="G594" t="s">
        <v>16</v>
      </c>
      <c r="H594" s="6" t="s">
        <v>1053</v>
      </c>
      <c r="I594" s="11">
        <v>72245.02</v>
      </c>
      <c r="J594" t="s">
        <v>246</v>
      </c>
      <c r="K594">
        <v>-1546602415</v>
      </c>
      <c r="L594" t="s">
        <v>41</v>
      </c>
      <c r="M594" t="b">
        <v>1</v>
      </c>
      <c r="N594" s="17">
        <f t="shared" si="9"/>
        <v>44227</v>
      </c>
      <c r="O594" t="str">
        <f>LEFT(Table1[[#This Row],[Department_Region]], FIND("-", Table1[[#This Row],[Department_Region]]) - 1)</f>
        <v>HR</v>
      </c>
      <c r="P594" t="str">
        <f>RIGHT(Table1[[#This Row],[Department_Region]],LEN(Table1[[#This Row],[Department_Region]]) - FIND("-",Table1[[#This Row],[Department_Region]]))</f>
        <v>Illinois</v>
      </c>
      <c r="Q5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94" s="15"/>
    </row>
    <row r="595" spans="1:18" x14ac:dyDescent="0.2">
      <c r="A595" s="1">
        <v>593</v>
      </c>
      <c r="B595" s="6" t="s">
        <v>1054</v>
      </c>
      <c r="C595" t="s">
        <v>32</v>
      </c>
      <c r="D595" t="s">
        <v>20</v>
      </c>
      <c r="E595">
        <v>32</v>
      </c>
      <c r="F595" t="s">
        <v>90</v>
      </c>
      <c r="G595" t="s">
        <v>28</v>
      </c>
      <c r="H595" s="6" t="s">
        <v>1055</v>
      </c>
      <c r="I595" s="11">
        <v>106538.98</v>
      </c>
      <c r="J595" t="s">
        <v>157</v>
      </c>
      <c r="K595">
        <v>-1394498829</v>
      </c>
      <c r="L595" t="s">
        <v>23</v>
      </c>
      <c r="M595" t="b">
        <v>0</v>
      </c>
      <c r="N595" s="17">
        <f t="shared" si="9"/>
        <v>44577</v>
      </c>
      <c r="O595" t="str">
        <f>LEFT(Table1[[#This Row],[Department_Region]], FIND("-", Table1[[#This Row],[Department_Region]]) - 1)</f>
        <v>Admin</v>
      </c>
      <c r="P595" t="str">
        <f>RIGHT(Table1[[#This Row],[Department_Region]],LEN(Table1[[#This Row],[Department_Region]]) - FIND("-",Table1[[#This Row],[Department_Region]]))</f>
        <v>Illinois</v>
      </c>
      <c r="Q5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95" s="15"/>
    </row>
    <row r="596" spans="1:18" x14ac:dyDescent="0.2">
      <c r="A596" s="1">
        <v>594</v>
      </c>
      <c r="B596" s="6" t="s">
        <v>1056</v>
      </c>
      <c r="C596" t="s">
        <v>54</v>
      </c>
      <c r="D596" t="s">
        <v>20</v>
      </c>
      <c r="E596">
        <v>25</v>
      </c>
      <c r="F596" t="s">
        <v>66</v>
      </c>
      <c r="G596" t="s">
        <v>16</v>
      </c>
      <c r="H596" s="6" t="s">
        <v>393</v>
      </c>
      <c r="I596" s="11">
        <v>101787.14</v>
      </c>
      <c r="J596" t="s">
        <v>127</v>
      </c>
      <c r="K596">
        <v>-5973642479</v>
      </c>
      <c r="L596" t="s">
        <v>30</v>
      </c>
      <c r="M596" t="b">
        <v>0</v>
      </c>
      <c r="N596" s="17">
        <f t="shared" si="9"/>
        <v>45289</v>
      </c>
      <c r="O596" t="str">
        <f>LEFT(Table1[[#This Row],[Department_Region]], FIND("-", Table1[[#This Row],[Department_Region]]) - 1)</f>
        <v>HR</v>
      </c>
      <c r="P596" t="str">
        <f>RIGHT(Table1[[#This Row],[Department_Region]],LEN(Table1[[#This Row],[Department_Region]]) - FIND("-",Table1[[#This Row],[Department_Region]]))</f>
        <v>New York</v>
      </c>
      <c r="Q5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96" s="15"/>
    </row>
    <row r="597" spans="1:18" x14ac:dyDescent="0.2">
      <c r="A597" s="1">
        <v>595</v>
      </c>
      <c r="B597" s="6" t="s">
        <v>1057</v>
      </c>
      <c r="C597" t="s">
        <v>37</v>
      </c>
      <c r="D597" t="s">
        <v>20</v>
      </c>
      <c r="E597">
        <v>30</v>
      </c>
      <c r="F597" t="s">
        <v>333</v>
      </c>
      <c r="G597" t="s">
        <v>33</v>
      </c>
      <c r="H597" s="6" t="s">
        <v>1862</v>
      </c>
      <c r="I597" s="11">
        <v>83596.78</v>
      </c>
      <c r="J597" t="s">
        <v>243</v>
      </c>
      <c r="K597">
        <v>-9624406305</v>
      </c>
      <c r="L597" t="s">
        <v>18</v>
      </c>
      <c r="M597" t="b">
        <v>0</v>
      </c>
      <c r="N597" s="17">
        <f t="shared" si="9"/>
        <v>45628</v>
      </c>
      <c r="O597" t="str">
        <f>LEFT(Table1[[#This Row],[Department_Region]], FIND("-", Table1[[#This Row],[Department_Region]]) - 1)</f>
        <v>DevOps</v>
      </c>
      <c r="P597" t="str">
        <f>RIGHT(Table1[[#This Row],[Department_Region]],LEN(Table1[[#This Row],[Department_Region]]) - FIND("-",Table1[[#This Row],[Department_Region]]))</f>
        <v>Nevada</v>
      </c>
      <c r="Q5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597" s="15"/>
    </row>
    <row r="598" spans="1:18" x14ac:dyDescent="0.2">
      <c r="A598" s="1">
        <v>596</v>
      </c>
      <c r="B598" s="6" t="s">
        <v>1058</v>
      </c>
      <c r="C598" t="s">
        <v>32</v>
      </c>
      <c r="D598" t="s">
        <v>26</v>
      </c>
      <c r="E598">
        <v>40</v>
      </c>
      <c r="F598" t="s">
        <v>44</v>
      </c>
      <c r="G598" t="s">
        <v>16</v>
      </c>
      <c r="H598" s="6" t="s">
        <v>582</v>
      </c>
      <c r="I598" s="11">
        <v>92463.94</v>
      </c>
      <c r="J598" t="s">
        <v>281</v>
      </c>
      <c r="K598">
        <v>-2447951329</v>
      </c>
      <c r="L598" t="s">
        <v>18</v>
      </c>
      <c r="M598" t="b">
        <v>1</v>
      </c>
      <c r="N598" s="17">
        <f t="shared" si="9"/>
        <v>45153</v>
      </c>
      <c r="O598" t="str">
        <f>LEFT(Table1[[#This Row],[Department_Region]], FIND("-", Table1[[#This Row],[Department_Region]]) - 1)</f>
        <v>Sales</v>
      </c>
      <c r="P598" t="str">
        <f>RIGHT(Table1[[#This Row],[Department_Region]],LEN(Table1[[#This Row],[Department_Region]]) - FIND("-",Table1[[#This Row],[Department_Region]]))</f>
        <v>Texas</v>
      </c>
      <c r="Q5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598" s="15"/>
    </row>
    <row r="599" spans="1:18" x14ac:dyDescent="0.2">
      <c r="A599" s="1">
        <v>597</v>
      </c>
      <c r="B599" s="6" t="s">
        <v>1059</v>
      </c>
      <c r="C599" t="s">
        <v>54</v>
      </c>
      <c r="D599" t="s">
        <v>14</v>
      </c>
      <c r="E599">
        <v>32</v>
      </c>
      <c r="F599" t="s">
        <v>120</v>
      </c>
      <c r="G599" t="s">
        <v>28</v>
      </c>
      <c r="H599" s="6" t="s">
        <v>1060</v>
      </c>
      <c r="I599" s="11">
        <v>93863.32</v>
      </c>
      <c r="J599" t="s">
        <v>173</v>
      </c>
      <c r="K599">
        <v>-5319497968</v>
      </c>
      <c r="L599" t="s">
        <v>23</v>
      </c>
      <c r="M599" t="b">
        <v>0</v>
      </c>
      <c r="N599" s="17">
        <f t="shared" si="9"/>
        <v>45646</v>
      </c>
      <c r="O599" t="str">
        <f>LEFT(Table1[[#This Row],[Department_Region]], FIND("-", Table1[[#This Row],[Department_Region]]) - 1)</f>
        <v>Admin</v>
      </c>
      <c r="P599" t="str">
        <f>RIGHT(Table1[[#This Row],[Department_Region]],LEN(Table1[[#This Row],[Department_Region]]) - FIND("-",Table1[[#This Row],[Department_Region]]))</f>
        <v>California</v>
      </c>
      <c r="Q5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599" s="15"/>
    </row>
    <row r="600" spans="1:18" x14ac:dyDescent="0.2">
      <c r="A600" s="1">
        <v>598</v>
      </c>
      <c r="B600" s="6" t="s">
        <v>1061</v>
      </c>
      <c r="C600" t="s">
        <v>25</v>
      </c>
      <c r="D600" t="s">
        <v>20</v>
      </c>
      <c r="E600">
        <v>32</v>
      </c>
      <c r="F600" t="s">
        <v>241</v>
      </c>
      <c r="G600" t="s">
        <v>28</v>
      </c>
      <c r="H600" s="6" t="s">
        <v>1062</v>
      </c>
      <c r="I600" s="11">
        <v>78359.41</v>
      </c>
      <c r="J600" t="s">
        <v>81</v>
      </c>
      <c r="K600">
        <v>-5867805554</v>
      </c>
      <c r="L600" t="s">
        <v>30</v>
      </c>
      <c r="M600" t="b">
        <v>0</v>
      </c>
      <c r="N600" s="17">
        <f t="shared" si="9"/>
        <v>45016</v>
      </c>
      <c r="O600" t="str">
        <f>LEFT(Table1[[#This Row],[Department_Region]], FIND("-", Table1[[#This Row],[Department_Region]]) - 1)</f>
        <v>DevOps</v>
      </c>
      <c r="P600" t="str">
        <f>RIGHT(Table1[[#This Row],[Department_Region]],LEN(Table1[[#This Row],[Department_Region]]) - FIND("-",Table1[[#This Row],[Department_Region]]))</f>
        <v>Texas</v>
      </c>
      <c r="Q6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00" s="15"/>
    </row>
    <row r="601" spans="1:18" x14ac:dyDescent="0.2">
      <c r="A601" s="1">
        <v>599</v>
      </c>
      <c r="B601" s="6" t="s">
        <v>1063</v>
      </c>
      <c r="C601" t="s">
        <v>25</v>
      </c>
      <c r="D601" t="s">
        <v>93</v>
      </c>
      <c r="E601">
        <v>32</v>
      </c>
      <c r="F601" t="s">
        <v>195</v>
      </c>
      <c r="G601" t="s">
        <v>28</v>
      </c>
      <c r="H601" s="6" t="s">
        <v>792</v>
      </c>
      <c r="I601" s="11">
        <v>95773.57</v>
      </c>
      <c r="J601" t="s">
        <v>168</v>
      </c>
      <c r="K601">
        <v>-7277382645</v>
      </c>
      <c r="L601" t="s">
        <v>23</v>
      </c>
      <c r="M601" t="b">
        <v>0</v>
      </c>
      <c r="N601" s="17">
        <f t="shared" si="9"/>
        <v>44797</v>
      </c>
      <c r="O601" t="str">
        <f>LEFT(Table1[[#This Row],[Department_Region]], FIND("-", Table1[[#This Row],[Department_Region]]) - 1)</f>
        <v>HR</v>
      </c>
      <c r="P601" t="str">
        <f>RIGHT(Table1[[#This Row],[Department_Region]],LEN(Table1[[#This Row],[Department_Region]]) - FIND("-",Table1[[#This Row],[Department_Region]]))</f>
        <v>Illinois</v>
      </c>
      <c r="Q6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01" s="15"/>
    </row>
    <row r="602" spans="1:18" x14ac:dyDescent="0.2">
      <c r="A602" s="1">
        <v>600</v>
      </c>
      <c r="B602" s="6" t="s">
        <v>1064</v>
      </c>
      <c r="C602" t="s">
        <v>69</v>
      </c>
      <c r="D602" t="s">
        <v>26</v>
      </c>
      <c r="E602">
        <v>30</v>
      </c>
      <c r="F602" t="s">
        <v>222</v>
      </c>
      <c r="G602" t="s">
        <v>33</v>
      </c>
      <c r="H602" s="6" t="s">
        <v>1807</v>
      </c>
      <c r="I602" s="11">
        <v>82529.08</v>
      </c>
      <c r="J602" t="s">
        <v>77</v>
      </c>
      <c r="K602">
        <v>-917851384</v>
      </c>
      <c r="L602" t="s">
        <v>23</v>
      </c>
      <c r="M602" t="b">
        <v>1</v>
      </c>
      <c r="N602" s="17">
        <f t="shared" si="9"/>
        <v>44105</v>
      </c>
      <c r="O602" t="str">
        <f>LEFT(Table1[[#This Row],[Department_Region]], FIND("-", Table1[[#This Row],[Department_Region]]) - 1)</f>
        <v>Sales</v>
      </c>
      <c r="P602" t="str">
        <f>RIGHT(Table1[[#This Row],[Department_Region]],LEN(Table1[[#This Row],[Department_Region]]) - FIND("-",Table1[[#This Row],[Department_Region]]))</f>
        <v>Nevada</v>
      </c>
      <c r="Q6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02" s="15"/>
    </row>
    <row r="603" spans="1:18" x14ac:dyDescent="0.2">
      <c r="A603" s="1">
        <v>601</v>
      </c>
      <c r="B603" s="6" t="s">
        <v>1065</v>
      </c>
      <c r="C603" t="s">
        <v>69</v>
      </c>
      <c r="D603" t="s">
        <v>43</v>
      </c>
      <c r="E603">
        <v>35</v>
      </c>
      <c r="F603" t="s">
        <v>44</v>
      </c>
      <c r="G603" t="s">
        <v>28</v>
      </c>
      <c r="H603" s="6" t="s">
        <v>1863</v>
      </c>
      <c r="I603" s="11">
        <v>109358.73</v>
      </c>
      <c r="J603" t="s">
        <v>84</v>
      </c>
      <c r="K603">
        <v>-4457702991</v>
      </c>
      <c r="L603" t="s">
        <v>30</v>
      </c>
      <c r="M603" t="b">
        <v>0</v>
      </c>
      <c r="N603" s="17">
        <f t="shared" si="9"/>
        <v>44320</v>
      </c>
      <c r="O603" t="str">
        <f>LEFT(Table1[[#This Row],[Department_Region]], FIND("-", Table1[[#This Row],[Department_Region]]) - 1)</f>
        <v>Sales</v>
      </c>
      <c r="P603" t="str">
        <f>RIGHT(Table1[[#This Row],[Department_Region]],LEN(Table1[[#This Row],[Department_Region]]) - FIND("-",Table1[[#This Row],[Department_Region]]))</f>
        <v>Texas</v>
      </c>
      <c r="Q6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03" s="15"/>
    </row>
    <row r="604" spans="1:18" x14ac:dyDescent="0.2">
      <c r="A604" s="1">
        <v>602</v>
      </c>
      <c r="B604" s="6" t="s">
        <v>1066</v>
      </c>
      <c r="C604" t="s">
        <v>54</v>
      </c>
      <c r="D604" t="s">
        <v>20</v>
      </c>
      <c r="E604">
        <v>32</v>
      </c>
      <c r="F604" t="s">
        <v>208</v>
      </c>
      <c r="G604" t="s">
        <v>16</v>
      </c>
      <c r="H604" s="6" t="s">
        <v>1864</v>
      </c>
      <c r="I604" s="11">
        <v>89645.01</v>
      </c>
      <c r="J604" t="s">
        <v>127</v>
      </c>
      <c r="K604">
        <v>-9596604872</v>
      </c>
      <c r="L604" t="s">
        <v>30</v>
      </c>
      <c r="M604" t="b">
        <v>1</v>
      </c>
      <c r="N604" s="17">
        <f t="shared" si="9"/>
        <v>44197</v>
      </c>
      <c r="O604" t="str">
        <f>LEFT(Table1[[#This Row],[Department_Region]], FIND("-", Table1[[#This Row],[Department_Region]]) - 1)</f>
        <v>Admin</v>
      </c>
      <c r="P604" t="str">
        <f>RIGHT(Table1[[#This Row],[Department_Region]],LEN(Table1[[#This Row],[Department_Region]]) - FIND("-",Table1[[#This Row],[Department_Region]]))</f>
        <v>Florida</v>
      </c>
      <c r="Q6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04" s="15"/>
    </row>
    <row r="605" spans="1:18" x14ac:dyDescent="0.2">
      <c r="A605" s="1">
        <v>603</v>
      </c>
      <c r="B605" s="6" t="s">
        <v>1067</v>
      </c>
      <c r="C605" t="s">
        <v>54</v>
      </c>
      <c r="D605" t="s">
        <v>93</v>
      </c>
      <c r="E605">
        <v>40</v>
      </c>
      <c r="F605" t="s">
        <v>141</v>
      </c>
      <c r="G605" t="s">
        <v>16</v>
      </c>
      <c r="H605" s="6" t="s">
        <v>1782</v>
      </c>
      <c r="I605" s="11">
        <v>84134.95</v>
      </c>
      <c r="J605" t="s">
        <v>508</v>
      </c>
      <c r="K605">
        <v>-6826911632</v>
      </c>
      <c r="L605" t="s">
        <v>41</v>
      </c>
      <c r="M605" t="b">
        <v>1</v>
      </c>
      <c r="N605" s="17">
        <f t="shared" si="9"/>
        <v>45390</v>
      </c>
      <c r="O605" t="str">
        <f>LEFT(Table1[[#This Row],[Department_Region]], FIND("-", Table1[[#This Row],[Department_Region]]) - 1)</f>
        <v>HR</v>
      </c>
      <c r="P605" t="str">
        <f>RIGHT(Table1[[#This Row],[Department_Region]],LEN(Table1[[#This Row],[Department_Region]]) - FIND("-",Table1[[#This Row],[Department_Region]]))</f>
        <v>Texas</v>
      </c>
      <c r="Q6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05" s="15"/>
    </row>
    <row r="606" spans="1:18" x14ac:dyDescent="0.2">
      <c r="A606" s="1">
        <v>604</v>
      </c>
      <c r="B606" s="6" t="s">
        <v>1068</v>
      </c>
      <c r="C606" t="s">
        <v>37</v>
      </c>
      <c r="D606" t="s">
        <v>14</v>
      </c>
      <c r="E606">
        <v>30</v>
      </c>
      <c r="F606" t="s">
        <v>86</v>
      </c>
      <c r="G606" t="s">
        <v>16</v>
      </c>
      <c r="H606" s="6" t="s">
        <v>206</v>
      </c>
      <c r="I606" s="11">
        <v>113540.83</v>
      </c>
      <c r="J606" t="s">
        <v>52</v>
      </c>
      <c r="K606">
        <v>-1942268652</v>
      </c>
      <c r="L606" t="s">
        <v>30</v>
      </c>
      <c r="M606" t="b">
        <v>1</v>
      </c>
      <c r="N606" s="17">
        <f t="shared" si="9"/>
        <v>44891</v>
      </c>
      <c r="O606" t="str">
        <f>LEFT(Table1[[#This Row],[Department_Region]], FIND("-", Table1[[#This Row],[Department_Region]]) - 1)</f>
        <v>Cloud Tech</v>
      </c>
      <c r="P606" t="str">
        <f>RIGHT(Table1[[#This Row],[Department_Region]],LEN(Table1[[#This Row],[Department_Region]]) - FIND("-",Table1[[#This Row],[Department_Region]]))</f>
        <v>Nevada</v>
      </c>
      <c r="Q6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06" s="15"/>
    </row>
    <row r="607" spans="1:18" x14ac:dyDescent="0.2">
      <c r="A607" s="1">
        <v>605</v>
      </c>
      <c r="B607" s="6" t="s">
        <v>1069</v>
      </c>
      <c r="C607" t="s">
        <v>65</v>
      </c>
      <c r="D607" t="s">
        <v>38</v>
      </c>
      <c r="E607">
        <v>40</v>
      </c>
      <c r="F607" t="s">
        <v>161</v>
      </c>
      <c r="G607" t="s">
        <v>28</v>
      </c>
      <c r="H607" s="6" t="s">
        <v>1070</v>
      </c>
      <c r="I607" s="11">
        <v>57225.75</v>
      </c>
      <c r="J607" t="s">
        <v>67</v>
      </c>
      <c r="K607">
        <v>-6945515887</v>
      </c>
      <c r="L607" t="s">
        <v>18</v>
      </c>
      <c r="M607" t="b">
        <v>1</v>
      </c>
      <c r="N607" s="17">
        <f t="shared" si="9"/>
        <v>44494</v>
      </c>
      <c r="O607" t="str">
        <f>LEFT(Table1[[#This Row],[Department_Region]], FIND("-", Table1[[#This Row],[Department_Region]]) - 1)</f>
        <v>Cloud Tech</v>
      </c>
      <c r="P607" t="str">
        <f>RIGHT(Table1[[#This Row],[Department_Region]],LEN(Table1[[#This Row],[Department_Region]]) - FIND("-",Table1[[#This Row],[Department_Region]]))</f>
        <v>Texas</v>
      </c>
      <c r="Q6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07" s="15"/>
    </row>
    <row r="608" spans="1:18" x14ac:dyDescent="0.2">
      <c r="A608" s="1">
        <v>606</v>
      </c>
      <c r="B608" s="6" t="s">
        <v>1071</v>
      </c>
      <c r="C608" t="s">
        <v>32</v>
      </c>
      <c r="D608" t="s">
        <v>14</v>
      </c>
      <c r="E608">
        <v>35</v>
      </c>
      <c r="F608" t="s">
        <v>99</v>
      </c>
      <c r="G608" t="s">
        <v>28</v>
      </c>
      <c r="H608" s="6" t="s">
        <v>1072</v>
      </c>
      <c r="I608" s="11">
        <v>76366.17</v>
      </c>
      <c r="J608" t="s">
        <v>35</v>
      </c>
      <c r="K608">
        <v>-6367747225</v>
      </c>
      <c r="L608" t="s">
        <v>23</v>
      </c>
      <c r="M608" t="b">
        <v>0</v>
      </c>
      <c r="N608" s="17">
        <f t="shared" si="9"/>
        <v>44187</v>
      </c>
      <c r="O608" t="str">
        <f>LEFT(Table1[[#This Row],[Department_Region]], FIND("-", Table1[[#This Row],[Department_Region]]) - 1)</f>
        <v>Sales</v>
      </c>
      <c r="P608" t="str">
        <f>RIGHT(Table1[[#This Row],[Department_Region]],LEN(Table1[[#This Row],[Department_Region]]) - FIND("-",Table1[[#This Row],[Department_Region]]))</f>
        <v>Illinois</v>
      </c>
      <c r="Q6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08" s="15"/>
    </row>
    <row r="609" spans="1:18" x14ac:dyDescent="0.2">
      <c r="A609" s="1">
        <v>607</v>
      </c>
      <c r="B609" s="6" t="s">
        <v>1073</v>
      </c>
      <c r="C609" t="s">
        <v>13</v>
      </c>
      <c r="D609" t="s">
        <v>43</v>
      </c>
      <c r="E609">
        <v>32</v>
      </c>
      <c r="F609" t="s">
        <v>215</v>
      </c>
      <c r="G609" t="s">
        <v>16</v>
      </c>
      <c r="H609" s="6" t="s">
        <v>1074</v>
      </c>
      <c r="I609" s="11">
        <v>78408.95</v>
      </c>
      <c r="J609" t="s">
        <v>155</v>
      </c>
      <c r="K609">
        <v>-4085721695</v>
      </c>
      <c r="L609" t="s">
        <v>23</v>
      </c>
      <c r="M609" t="b">
        <v>1</v>
      </c>
      <c r="N609" s="17">
        <f t="shared" si="9"/>
        <v>44888</v>
      </c>
      <c r="O609" t="str">
        <f>LEFT(Table1[[#This Row],[Department_Region]], FIND("-", Table1[[#This Row],[Department_Region]]) - 1)</f>
        <v>HR</v>
      </c>
      <c r="P609" t="str">
        <f>RIGHT(Table1[[#This Row],[Department_Region]],LEN(Table1[[#This Row],[Department_Region]]) - FIND("-",Table1[[#This Row],[Department_Region]]))</f>
        <v>Florida</v>
      </c>
      <c r="Q6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09" s="15"/>
    </row>
    <row r="610" spans="1:18" x14ac:dyDescent="0.2">
      <c r="A610" s="1">
        <v>608</v>
      </c>
      <c r="B610" s="6" t="s">
        <v>1075</v>
      </c>
      <c r="C610" t="s">
        <v>37</v>
      </c>
      <c r="D610" t="s">
        <v>20</v>
      </c>
      <c r="E610">
        <v>40</v>
      </c>
      <c r="F610" t="s">
        <v>269</v>
      </c>
      <c r="G610" t="s">
        <v>16</v>
      </c>
      <c r="H610" s="6" t="s">
        <v>1076</v>
      </c>
      <c r="I610" s="11">
        <v>111742.39999999999</v>
      </c>
      <c r="J610" t="s">
        <v>243</v>
      </c>
      <c r="K610">
        <v>-6630932997</v>
      </c>
      <c r="L610" t="s">
        <v>18</v>
      </c>
      <c r="M610" t="b">
        <v>1</v>
      </c>
      <c r="N610" s="17">
        <f t="shared" si="9"/>
        <v>44858</v>
      </c>
      <c r="O610" t="str">
        <f>LEFT(Table1[[#This Row],[Department_Region]], FIND("-", Table1[[#This Row],[Department_Region]]) - 1)</f>
        <v>Finance</v>
      </c>
      <c r="P610" t="str">
        <f>RIGHT(Table1[[#This Row],[Department_Region]],LEN(Table1[[#This Row],[Department_Region]]) - FIND("-",Table1[[#This Row],[Department_Region]]))</f>
        <v>Illinois</v>
      </c>
      <c r="Q6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10" s="15"/>
    </row>
    <row r="611" spans="1:18" x14ac:dyDescent="0.2">
      <c r="A611" s="1">
        <v>609</v>
      </c>
      <c r="B611" s="6" t="s">
        <v>1077</v>
      </c>
      <c r="C611" t="s">
        <v>59</v>
      </c>
      <c r="D611" t="s">
        <v>43</v>
      </c>
      <c r="E611">
        <v>25</v>
      </c>
      <c r="F611" t="s">
        <v>222</v>
      </c>
      <c r="G611" t="s">
        <v>33</v>
      </c>
      <c r="H611" s="6" t="s">
        <v>1685</v>
      </c>
      <c r="I611" s="11">
        <v>60516.83</v>
      </c>
      <c r="J611" t="s">
        <v>102</v>
      </c>
      <c r="K611">
        <v>-1996059328</v>
      </c>
      <c r="L611" t="s">
        <v>30</v>
      </c>
      <c r="M611" t="b">
        <v>0</v>
      </c>
      <c r="N611" s="17">
        <f t="shared" si="9"/>
        <v>44264</v>
      </c>
      <c r="O611" t="str">
        <f>LEFT(Table1[[#This Row],[Department_Region]], FIND("-", Table1[[#This Row],[Department_Region]]) - 1)</f>
        <v>Sales</v>
      </c>
      <c r="P611" t="str">
        <f>RIGHT(Table1[[#This Row],[Department_Region]],LEN(Table1[[#This Row],[Department_Region]]) - FIND("-",Table1[[#This Row],[Department_Region]]))</f>
        <v>Nevada</v>
      </c>
      <c r="Q6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1" s="15"/>
    </row>
    <row r="612" spans="1:18" x14ac:dyDescent="0.2">
      <c r="A612" s="1">
        <v>610</v>
      </c>
      <c r="B612" s="6" t="s">
        <v>1078</v>
      </c>
      <c r="C612" t="s">
        <v>13</v>
      </c>
      <c r="D612" t="s">
        <v>26</v>
      </c>
      <c r="E612">
        <v>30</v>
      </c>
      <c r="F612" t="s">
        <v>70</v>
      </c>
      <c r="G612" t="s">
        <v>28</v>
      </c>
      <c r="H612" s="6" t="s">
        <v>1079</v>
      </c>
      <c r="I612" s="11">
        <v>83706.17</v>
      </c>
      <c r="J612" t="s">
        <v>50</v>
      </c>
      <c r="K612">
        <v>-7150968831</v>
      </c>
      <c r="L612" t="s">
        <v>18</v>
      </c>
      <c r="M612" t="b">
        <v>0</v>
      </c>
      <c r="N612" s="17">
        <f t="shared" si="9"/>
        <v>44063</v>
      </c>
      <c r="O612" t="str">
        <f>LEFT(Table1[[#This Row],[Department_Region]], FIND("-", Table1[[#This Row],[Department_Region]]) - 1)</f>
        <v>Finance</v>
      </c>
      <c r="P612" t="str">
        <f>RIGHT(Table1[[#This Row],[Department_Region]],LEN(Table1[[#This Row],[Department_Region]]) - FIND("-",Table1[[#This Row],[Department_Region]]))</f>
        <v>California</v>
      </c>
      <c r="Q6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2" s="15"/>
    </row>
    <row r="613" spans="1:18" x14ac:dyDescent="0.2">
      <c r="A613" s="1">
        <v>611</v>
      </c>
      <c r="B613" s="6" t="s">
        <v>1080</v>
      </c>
      <c r="C613" t="s">
        <v>59</v>
      </c>
      <c r="D613" t="s">
        <v>55</v>
      </c>
      <c r="E613">
        <v>32</v>
      </c>
      <c r="F613" t="s">
        <v>27</v>
      </c>
      <c r="G613" t="s">
        <v>33</v>
      </c>
      <c r="H613" s="6" t="s">
        <v>1081</v>
      </c>
      <c r="I613" s="11">
        <v>67056.92</v>
      </c>
      <c r="J613" t="s">
        <v>220</v>
      </c>
      <c r="K613">
        <v>-7532735240</v>
      </c>
      <c r="L613" t="s">
        <v>18</v>
      </c>
      <c r="M613" t="b">
        <v>1</v>
      </c>
      <c r="N613" s="17">
        <f t="shared" si="9"/>
        <v>43876</v>
      </c>
      <c r="O613" t="str">
        <f>LEFT(Table1[[#This Row],[Department_Region]], FIND("-", Table1[[#This Row],[Department_Region]]) - 1)</f>
        <v>Admin</v>
      </c>
      <c r="P613" t="str">
        <f>RIGHT(Table1[[#This Row],[Department_Region]],LEN(Table1[[#This Row],[Department_Region]]) - FIND("-",Table1[[#This Row],[Department_Region]]))</f>
        <v>Nevada</v>
      </c>
      <c r="Q6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3" s="15"/>
    </row>
    <row r="614" spans="1:18" x14ac:dyDescent="0.2">
      <c r="A614" s="1">
        <v>612</v>
      </c>
      <c r="B614" s="6" t="s">
        <v>1082</v>
      </c>
      <c r="C614" t="s">
        <v>54</v>
      </c>
      <c r="D614" t="s">
        <v>20</v>
      </c>
      <c r="E614">
        <v>30</v>
      </c>
      <c r="F614" t="s">
        <v>79</v>
      </c>
      <c r="G614" t="s">
        <v>16</v>
      </c>
      <c r="H614" s="6" t="s">
        <v>1083</v>
      </c>
      <c r="I614" s="11">
        <v>90058.85</v>
      </c>
      <c r="J614" t="s">
        <v>127</v>
      </c>
      <c r="K614">
        <v>-397739731</v>
      </c>
      <c r="L614" t="s">
        <v>41</v>
      </c>
      <c r="M614" t="b">
        <v>0</v>
      </c>
      <c r="N614" s="17">
        <f t="shared" si="9"/>
        <v>45655</v>
      </c>
      <c r="O614" t="str">
        <f>LEFT(Table1[[#This Row],[Department_Region]], FIND("-", Table1[[#This Row],[Department_Region]]) - 1)</f>
        <v>DevOps</v>
      </c>
      <c r="P614" t="str">
        <f>RIGHT(Table1[[#This Row],[Department_Region]],LEN(Table1[[#This Row],[Department_Region]]) - FIND("-",Table1[[#This Row],[Department_Region]]))</f>
        <v>Illinois</v>
      </c>
      <c r="Q6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4" s="15"/>
    </row>
    <row r="615" spans="1:18" x14ac:dyDescent="0.2">
      <c r="A615" s="1">
        <v>613</v>
      </c>
      <c r="B615" s="6" t="s">
        <v>1084</v>
      </c>
      <c r="C615" t="s">
        <v>32</v>
      </c>
      <c r="D615" t="s">
        <v>55</v>
      </c>
      <c r="E615">
        <v>30</v>
      </c>
      <c r="F615" t="s">
        <v>75</v>
      </c>
      <c r="G615" t="s">
        <v>28</v>
      </c>
      <c r="H615" s="6" t="s">
        <v>1085</v>
      </c>
      <c r="I615" s="11">
        <v>94633.59</v>
      </c>
      <c r="J615" t="s">
        <v>327</v>
      </c>
      <c r="K615">
        <v>-7819523709</v>
      </c>
      <c r="L615" t="s">
        <v>18</v>
      </c>
      <c r="M615" t="b">
        <v>1</v>
      </c>
      <c r="N615" s="17">
        <f t="shared" si="9"/>
        <v>44985</v>
      </c>
      <c r="O615" t="str">
        <f>LEFT(Table1[[#This Row],[Department_Region]], FIND("-", Table1[[#This Row],[Department_Region]]) - 1)</f>
        <v>Sales</v>
      </c>
      <c r="P615" t="str">
        <f>RIGHT(Table1[[#This Row],[Department_Region]],LEN(Table1[[#This Row],[Department_Region]]) - FIND("-",Table1[[#This Row],[Department_Region]]))</f>
        <v>Florida</v>
      </c>
      <c r="Q6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5" s="15"/>
    </row>
    <row r="616" spans="1:18" x14ac:dyDescent="0.2">
      <c r="A616" s="1">
        <v>614</v>
      </c>
      <c r="B616" s="6" t="s">
        <v>1086</v>
      </c>
      <c r="C616" t="s">
        <v>32</v>
      </c>
      <c r="D616" t="s">
        <v>93</v>
      </c>
      <c r="E616">
        <v>25</v>
      </c>
      <c r="F616" t="s">
        <v>208</v>
      </c>
      <c r="G616" t="s">
        <v>28</v>
      </c>
      <c r="H616" s="6" t="s">
        <v>1087</v>
      </c>
      <c r="I616" s="11">
        <v>110711.17</v>
      </c>
      <c r="J616" t="s">
        <v>267</v>
      </c>
      <c r="K616">
        <v>-687616480</v>
      </c>
      <c r="L616" t="s">
        <v>23</v>
      </c>
      <c r="M616" t="b">
        <v>1</v>
      </c>
      <c r="N616" s="17">
        <f t="shared" si="9"/>
        <v>44796</v>
      </c>
      <c r="O616" t="str">
        <f>LEFT(Table1[[#This Row],[Department_Region]], FIND("-", Table1[[#This Row],[Department_Region]]) - 1)</f>
        <v>Admin</v>
      </c>
      <c r="P616" t="str">
        <f>RIGHT(Table1[[#This Row],[Department_Region]],LEN(Table1[[#This Row],[Department_Region]]) - FIND("-",Table1[[#This Row],[Department_Region]]))</f>
        <v>Florida</v>
      </c>
      <c r="Q6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16" s="15"/>
    </row>
    <row r="617" spans="1:18" x14ac:dyDescent="0.2">
      <c r="A617" s="1">
        <v>615</v>
      </c>
      <c r="B617" s="6" t="s">
        <v>1088</v>
      </c>
      <c r="C617" t="s">
        <v>69</v>
      </c>
      <c r="D617" t="s">
        <v>38</v>
      </c>
      <c r="E617">
        <v>32</v>
      </c>
      <c r="F617" t="s">
        <v>90</v>
      </c>
      <c r="G617" t="s">
        <v>16</v>
      </c>
      <c r="H617" s="6" t="s">
        <v>338</v>
      </c>
      <c r="I617" s="11">
        <v>96175.41</v>
      </c>
      <c r="J617" t="s">
        <v>72</v>
      </c>
      <c r="K617">
        <v>-9807704604</v>
      </c>
      <c r="L617" t="s">
        <v>18</v>
      </c>
      <c r="M617" t="b">
        <v>1</v>
      </c>
      <c r="N617" s="17">
        <f t="shared" si="9"/>
        <v>45107</v>
      </c>
      <c r="O617" t="str">
        <f>LEFT(Table1[[#This Row],[Department_Region]], FIND("-", Table1[[#This Row],[Department_Region]]) - 1)</f>
        <v>Admin</v>
      </c>
      <c r="P617" t="str">
        <f>RIGHT(Table1[[#This Row],[Department_Region]],LEN(Table1[[#This Row],[Department_Region]]) - FIND("-",Table1[[#This Row],[Department_Region]]))</f>
        <v>Illinois</v>
      </c>
      <c r="Q6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17" s="15"/>
    </row>
    <row r="618" spans="1:18" x14ac:dyDescent="0.2">
      <c r="A618" s="1">
        <v>616</v>
      </c>
      <c r="B618" s="6" t="s">
        <v>1089</v>
      </c>
      <c r="C618" t="s">
        <v>37</v>
      </c>
      <c r="D618" t="s">
        <v>124</v>
      </c>
      <c r="E618">
        <v>40</v>
      </c>
      <c r="F618" t="s">
        <v>99</v>
      </c>
      <c r="G618" t="s">
        <v>16</v>
      </c>
      <c r="H618" s="6" t="s">
        <v>1090</v>
      </c>
      <c r="I618" s="11">
        <v>76474.789999999994</v>
      </c>
      <c r="J618" t="s">
        <v>139</v>
      </c>
      <c r="K618">
        <v>-6876112490</v>
      </c>
      <c r="L618" t="s">
        <v>23</v>
      </c>
      <c r="M618" t="b">
        <v>1</v>
      </c>
      <c r="N618" s="17">
        <f t="shared" si="9"/>
        <v>44301</v>
      </c>
      <c r="O618" t="str">
        <f>LEFT(Table1[[#This Row],[Department_Region]], FIND("-", Table1[[#This Row],[Department_Region]]) - 1)</f>
        <v>Sales</v>
      </c>
      <c r="P618" t="str">
        <f>RIGHT(Table1[[#This Row],[Department_Region]],LEN(Table1[[#This Row],[Department_Region]]) - FIND("-",Table1[[#This Row],[Department_Region]]))</f>
        <v>Illinois</v>
      </c>
      <c r="Q6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18" s="15"/>
    </row>
    <row r="619" spans="1:18" x14ac:dyDescent="0.2">
      <c r="A619" s="1">
        <v>617</v>
      </c>
      <c r="B619" s="6" t="s">
        <v>1091</v>
      </c>
      <c r="C619" t="s">
        <v>25</v>
      </c>
      <c r="D619" t="s">
        <v>43</v>
      </c>
      <c r="E619">
        <v>30</v>
      </c>
      <c r="F619" t="s">
        <v>99</v>
      </c>
      <c r="G619" t="s">
        <v>28</v>
      </c>
      <c r="H619" s="6" t="s">
        <v>1865</v>
      </c>
      <c r="I619" s="11">
        <v>107855.99</v>
      </c>
      <c r="J619" t="s">
        <v>45</v>
      </c>
      <c r="K619">
        <v>-2565237340</v>
      </c>
      <c r="L619" t="s">
        <v>23</v>
      </c>
      <c r="M619" t="b">
        <v>0</v>
      </c>
      <c r="N619" s="17">
        <f t="shared" si="9"/>
        <v>44690</v>
      </c>
      <c r="O619" t="str">
        <f>LEFT(Table1[[#This Row],[Department_Region]], FIND("-", Table1[[#This Row],[Department_Region]]) - 1)</f>
        <v>Sales</v>
      </c>
      <c r="P619" t="str">
        <f>RIGHT(Table1[[#This Row],[Department_Region]],LEN(Table1[[#This Row],[Department_Region]]) - FIND("-",Table1[[#This Row],[Department_Region]]))</f>
        <v>Illinois</v>
      </c>
      <c r="Q6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19" s="15"/>
    </row>
    <row r="620" spans="1:18" x14ac:dyDescent="0.2">
      <c r="A620" s="1">
        <v>618</v>
      </c>
      <c r="B620" s="6" t="s">
        <v>1092</v>
      </c>
      <c r="C620" t="s">
        <v>54</v>
      </c>
      <c r="D620" t="s">
        <v>14</v>
      </c>
      <c r="E620">
        <v>40</v>
      </c>
      <c r="F620" t="s">
        <v>99</v>
      </c>
      <c r="G620" t="s">
        <v>16</v>
      </c>
      <c r="H620" s="6" t="s">
        <v>1862</v>
      </c>
      <c r="I620" s="11">
        <v>104870.78</v>
      </c>
      <c r="J620" t="s">
        <v>173</v>
      </c>
      <c r="K620">
        <v>-5177345474</v>
      </c>
      <c r="L620" t="s">
        <v>23</v>
      </c>
      <c r="M620" t="b">
        <v>1</v>
      </c>
      <c r="N620" s="17">
        <f t="shared" si="9"/>
        <v>45628</v>
      </c>
      <c r="O620" t="str">
        <f>LEFT(Table1[[#This Row],[Department_Region]], FIND("-", Table1[[#This Row],[Department_Region]]) - 1)</f>
        <v>Sales</v>
      </c>
      <c r="P620" t="str">
        <f>RIGHT(Table1[[#This Row],[Department_Region]],LEN(Table1[[#This Row],[Department_Region]]) - FIND("-",Table1[[#This Row],[Department_Region]]))</f>
        <v>Illinois</v>
      </c>
      <c r="Q6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20" s="15"/>
    </row>
    <row r="621" spans="1:18" x14ac:dyDescent="0.2">
      <c r="A621" s="1">
        <v>619</v>
      </c>
      <c r="B621" s="6" t="s">
        <v>1093</v>
      </c>
      <c r="C621" t="s">
        <v>13</v>
      </c>
      <c r="D621" t="s">
        <v>38</v>
      </c>
      <c r="E621">
        <v>25</v>
      </c>
      <c r="F621" t="s">
        <v>101</v>
      </c>
      <c r="G621" t="s">
        <v>16</v>
      </c>
      <c r="H621" s="6" t="s">
        <v>1094</v>
      </c>
      <c r="I621" s="11">
        <v>85165.05</v>
      </c>
      <c r="J621" t="s">
        <v>146</v>
      </c>
      <c r="K621">
        <v>-7494902283</v>
      </c>
      <c r="L621" t="s">
        <v>30</v>
      </c>
      <c r="M621" t="b">
        <v>0</v>
      </c>
      <c r="N621" s="17">
        <f t="shared" si="9"/>
        <v>45066</v>
      </c>
      <c r="O621" t="str">
        <f>LEFT(Table1[[#This Row],[Department_Region]], FIND("-", Table1[[#This Row],[Department_Region]]) - 1)</f>
        <v>Finance</v>
      </c>
      <c r="P621" t="str">
        <f>RIGHT(Table1[[#This Row],[Department_Region]],LEN(Table1[[#This Row],[Department_Region]]) - FIND("-",Table1[[#This Row],[Department_Region]]))</f>
        <v>Nevada</v>
      </c>
      <c r="Q6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1" s="15"/>
    </row>
    <row r="622" spans="1:18" x14ac:dyDescent="0.2">
      <c r="A622" s="1">
        <v>620</v>
      </c>
      <c r="B622" s="6" t="s">
        <v>1095</v>
      </c>
      <c r="C622" t="s">
        <v>69</v>
      </c>
      <c r="D622" t="s">
        <v>20</v>
      </c>
      <c r="E622">
        <v>32</v>
      </c>
      <c r="F622" t="s">
        <v>70</v>
      </c>
      <c r="G622" t="s">
        <v>16</v>
      </c>
      <c r="H622" s="6" t="s">
        <v>1096</v>
      </c>
      <c r="I622" s="11">
        <v>87087.16</v>
      </c>
      <c r="J622" t="s">
        <v>204</v>
      </c>
      <c r="K622">
        <v>-359544293</v>
      </c>
      <c r="L622" t="s">
        <v>41</v>
      </c>
      <c r="M622" t="b">
        <v>0</v>
      </c>
      <c r="N622" s="17">
        <f t="shared" si="9"/>
        <v>45259</v>
      </c>
      <c r="O622" t="str">
        <f>LEFT(Table1[[#This Row],[Department_Region]], FIND("-", Table1[[#This Row],[Department_Region]]) - 1)</f>
        <v>Finance</v>
      </c>
      <c r="P622" t="str">
        <f>RIGHT(Table1[[#This Row],[Department_Region]],LEN(Table1[[#This Row],[Department_Region]]) - FIND("-",Table1[[#This Row],[Department_Region]]))</f>
        <v>California</v>
      </c>
      <c r="Q6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2" s="15"/>
    </row>
    <row r="623" spans="1:18" x14ac:dyDescent="0.2">
      <c r="A623" s="1">
        <v>621</v>
      </c>
      <c r="B623" s="6" t="s">
        <v>1097</v>
      </c>
      <c r="C623" t="s">
        <v>65</v>
      </c>
      <c r="D623" t="s">
        <v>55</v>
      </c>
      <c r="E623">
        <v>40</v>
      </c>
      <c r="F623" t="s">
        <v>195</v>
      </c>
      <c r="G623" t="s">
        <v>28</v>
      </c>
      <c r="H623" s="6" t="s">
        <v>1782</v>
      </c>
      <c r="I623" s="11">
        <v>108603.34</v>
      </c>
      <c r="J623" t="s">
        <v>114</v>
      </c>
      <c r="K623">
        <v>-7742229463</v>
      </c>
      <c r="L623" t="s">
        <v>23</v>
      </c>
      <c r="M623" t="b">
        <v>0</v>
      </c>
      <c r="N623" s="17">
        <f t="shared" si="9"/>
        <v>45390</v>
      </c>
      <c r="O623" t="str">
        <f>LEFT(Table1[[#This Row],[Department_Region]], FIND("-", Table1[[#This Row],[Department_Region]]) - 1)</f>
        <v>HR</v>
      </c>
      <c r="P623" t="str">
        <f>RIGHT(Table1[[#This Row],[Department_Region]],LEN(Table1[[#This Row],[Department_Region]]) - FIND("-",Table1[[#This Row],[Department_Region]]))</f>
        <v>Illinois</v>
      </c>
      <c r="Q6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23" s="15"/>
    </row>
    <row r="624" spans="1:18" x14ac:dyDescent="0.2">
      <c r="A624" s="1">
        <v>622</v>
      </c>
      <c r="B624" s="6" t="s">
        <v>1098</v>
      </c>
      <c r="C624" t="s">
        <v>69</v>
      </c>
      <c r="D624" t="s">
        <v>14</v>
      </c>
      <c r="E624">
        <v>30</v>
      </c>
      <c r="F624" t="s">
        <v>215</v>
      </c>
      <c r="G624" t="s">
        <v>16</v>
      </c>
      <c r="H624" s="6" t="s">
        <v>1099</v>
      </c>
      <c r="I624" s="11">
        <v>55867.23</v>
      </c>
      <c r="J624" t="s">
        <v>239</v>
      </c>
      <c r="K624">
        <v>-3039429044</v>
      </c>
      <c r="L624" t="s">
        <v>23</v>
      </c>
      <c r="M624" t="b">
        <v>0</v>
      </c>
      <c r="N624" s="17">
        <f t="shared" si="9"/>
        <v>45590</v>
      </c>
      <c r="O624" t="str">
        <f>LEFT(Table1[[#This Row],[Department_Region]], FIND("-", Table1[[#This Row],[Department_Region]]) - 1)</f>
        <v>HR</v>
      </c>
      <c r="P624" t="str">
        <f>RIGHT(Table1[[#This Row],[Department_Region]],LEN(Table1[[#This Row],[Department_Region]]) - FIND("-",Table1[[#This Row],[Department_Region]]))</f>
        <v>Florida</v>
      </c>
      <c r="Q6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4" s="15"/>
    </row>
    <row r="625" spans="1:18" x14ac:dyDescent="0.2">
      <c r="A625" s="1">
        <v>623</v>
      </c>
      <c r="B625" s="6" t="s">
        <v>1100</v>
      </c>
      <c r="C625" t="s">
        <v>69</v>
      </c>
      <c r="D625" t="s">
        <v>55</v>
      </c>
      <c r="E625">
        <v>35</v>
      </c>
      <c r="F625" t="s">
        <v>104</v>
      </c>
      <c r="G625" t="s">
        <v>28</v>
      </c>
      <c r="H625" s="6" t="s">
        <v>1866</v>
      </c>
      <c r="I625" s="11">
        <v>105259.57</v>
      </c>
      <c r="J625" t="s">
        <v>129</v>
      </c>
      <c r="K625">
        <v>-8867925297</v>
      </c>
      <c r="L625" t="s">
        <v>30</v>
      </c>
      <c r="M625" t="b">
        <v>1</v>
      </c>
      <c r="N625" s="17">
        <f t="shared" si="9"/>
        <v>45353</v>
      </c>
      <c r="O625" t="str">
        <f>LEFT(Table1[[#This Row],[Department_Region]], FIND("-", Table1[[#This Row],[Department_Region]]) - 1)</f>
        <v>Admin</v>
      </c>
      <c r="P625" t="str">
        <f>RIGHT(Table1[[#This Row],[Department_Region]],LEN(Table1[[#This Row],[Department_Region]]) - FIND("-",Table1[[#This Row],[Department_Region]]))</f>
        <v>Texas</v>
      </c>
      <c r="Q6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25" s="15"/>
    </row>
    <row r="626" spans="1:18" x14ac:dyDescent="0.2">
      <c r="A626" s="1">
        <v>624</v>
      </c>
      <c r="B626" s="6" t="s">
        <v>1101</v>
      </c>
      <c r="C626" t="s">
        <v>13</v>
      </c>
      <c r="D626" t="s">
        <v>26</v>
      </c>
      <c r="E626">
        <v>32</v>
      </c>
      <c r="F626" t="s">
        <v>39</v>
      </c>
      <c r="G626" t="s">
        <v>28</v>
      </c>
      <c r="H626" s="6" t="s">
        <v>1102</v>
      </c>
      <c r="I626" s="11">
        <v>98143.67</v>
      </c>
      <c r="J626" t="s">
        <v>50</v>
      </c>
      <c r="K626">
        <v>-5856728726</v>
      </c>
      <c r="L626" t="s">
        <v>23</v>
      </c>
      <c r="M626" t="b">
        <v>0</v>
      </c>
      <c r="N626" s="17">
        <f t="shared" si="9"/>
        <v>44251</v>
      </c>
      <c r="O626" t="str">
        <f>LEFT(Table1[[#This Row],[Department_Region]], FIND("-", Table1[[#This Row],[Department_Region]]) - 1)</f>
        <v>Cloud Tech</v>
      </c>
      <c r="P626" t="str">
        <f>RIGHT(Table1[[#This Row],[Department_Region]],LEN(Table1[[#This Row],[Department_Region]]) - FIND("-",Table1[[#This Row],[Department_Region]]))</f>
        <v>Florida</v>
      </c>
      <c r="Q6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6" s="15"/>
    </row>
    <row r="627" spans="1:18" x14ac:dyDescent="0.2">
      <c r="A627" s="1">
        <v>625</v>
      </c>
      <c r="B627" s="6" t="s">
        <v>1103</v>
      </c>
      <c r="C627" t="s">
        <v>37</v>
      </c>
      <c r="D627" t="s">
        <v>55</v>
      </c>
      <c r="E627">
        <v>25</v>
      </c>
      <c r="F627" t="s">
        <v>208</v>
      </c>
      <c r="G627" t="s">
        <v>28</v>
      </c>
      <c r="H627" s="6" t="s">
        <v>1104</v>
      </c>
      <c r="I627" s="11">
        <v>67754.289999999994</v>
      </c>
      <c r="J627" t="s">
        <v>275</v>
      </c>
      <c r="K627">
        <v>-6015343323</v>
      </c>
      <c r="L627" t="s">
        <v>18</v>
      </c>
      <c r="M627" t="b">
        <v>1</v>
      </c>
      <c r="N627" s="17">
        <f t="shared" si="9"/>
        <v>45029</v>
      </c>
      <c r="O627" t="str">
        <f>LEFT(Table1[[#This Row],[Department_Region]], FIND("-", Table1[[#This Row],[Department_Region]]) - 1)</f>
        <v>Admin</v>
      </c>
      <c r="P627" t="str">
        <f>RIGHT(Table1[[#This Row],[Department_Region]],LEN(Table1[[#This Row],[Department_Region]]) - FIND("-",Table1[[#This Row],[Department_Region]]))</f>
        <v>Florida</v>
      </c>
      <c r="Q6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7" s="15"/>
    </row>
    <row r="628" spans="1:18" x14ac:dyDescent="0.2">
      <c r="A628" s="1">
        <v>626</v>
      </c>
      <c r="B628" s="6" t="s">
        <v>1105</v>
      </c>
      <c r="C628" t="s">
        <v>69</v>
      </c>
      <c r="D628" t="s">
        <v>26</v>
      </c>
      <c r="E628">
        <v>32</v>
      </c>
      <c r="F628" t="s">
        <v>195</v>
      </c>
      <c r="G628" t="s">
        <v>33</v>
      </c>
      <c r="H628" s="6" t="s">
        <v>608</v>
      </c>
      <c r="I628" s="11">
        <v>77821.789999999994</v>
      </c>
      <c r="J628" t="s">
        <v>77</v>
      </c>
      <c r="K628">
        <v>-9135779082</v>
      </c>
      <c r="L628" t="s">
        <v>18</v>
      </c>
      <c r="M628" t="b">
        <v>0</v>
      </c>
      <c r="N628" s="17">
        <f t="shared" si="9"/>
        <v>45224</v>
      </c>
      <c r="O628" t="str">
        <f>LEFT(Table1[[#This Row],[Department_Region]], FIND("-", Table1[[#This Row],[Department_Region]]) - 1)</f>
        <v>HR</v>
      </c>
      <c r="P628" t="str">
        <f>RIGHT(Table1[[#This Row],[Department_Region]],LEN(Table1[[#This Row],[Department_Region]]) - FIND("-",Table1[[#This Row],[Department_Region]]))</f>
        <v>Illinois</v>
      </c>
      <c r="Q6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8" s="15"/>
    </row>
    <row r="629" spans="1:18" x14ac:dyDescent="0.2">
      <c r="A629" s="1">
        <v>627</v>
      </c>
      <c r="B629" s="6" t="s">
        <v>1106</v>
      </c>
      <c r="C629" t="s">
        <v>65</v>
      </c>
      <c r="D629" t="s">
        <v>93</v>
      </c>
      <c r="E629">
        <v>30</v>
      </c>
      <c r="F629" t="s">
        <v>195</v>
      </c>
      <c r="G629" t="s">
        <v>28</v>
      </c>
      <c r="H629" s="6" t="s">
        <v>1107</v>
      </c>
      <c r="I629" s="11">
        <v>67764.44</v>
      </c>
      <c r="J629" t="s">
        <v>132</v>
      </c>
      <c r="K629">
        <v>-3506158147</v>
      </c>
      <c r="L629" t="s">
        <v>41</v>
      </c>
      <c r="M629" t="b">
        <v>0</v>
      </c>
      <c r="N629" s="17">
        <f t="shared" si="9"/>
        <v>44821</v>
      </c>
      <c r="O629" t="str">
        <f>LEFT(Table1[[#This Row],[Department_Region]], FIND("-", Table1[[#This Row],[Department_Region]]) - 1)</f>
        <v>HR</v>
      </c>
      <c r="P629" t="str">
        <f>RIGHT(Table1[[#This Row],[Department_Region]],LEN(Table1[[#This Row],[Department_Region]]) - FIND("-",Table1[[#This Row],[Department_Region]]))</f>
        <v>Illinois</v>
      </c>
      <c r="Q6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29" s="15"/>
    </row>
    <row r="630" spans="1:18" x14ac:dyDescent="0.2">
      <c r="A630" s="1">
        <v>628</v>
      </c>
      <c r="B630" s="6" t="s">
        <v>1108</v>
      </c>
      <c r="C630" t="s">
        <v>37</v>
      </c>
      <c r="D630" t="s">
        <v>14</v>
      </c>
      <c r="E630">
        <v>40</v>
      </c>
      <c r="F630" t="s">
        <v>56</v>
      </c>
      <c r="G630" t="s">
        <v>28</v>
      </c>
      <c r="H630" s="6" t="s">
        <v>983</v>
      </c>
      <c r="I630" s="11">
        <v>102346.99</v>
      </c>
      <c r="J630" t="s">
        <v>52</v>
      </c>
      <c r="K630">
        <v>-8810798333</v>
      </c>
      <c r="L630" t="s">
        <v>23</v>
      </c>
      <c r="M630" t="b">
        <v>1</v>
      </c>
      <c r="N630" s="17">
        <f t="shared" si="9"/>
        <v>44074</v>
      </c>
      <c r="O630" t="str">
        <f>LEFT(Table1[[#This Row],[Department_Region]], FIND("-", Table1[[#This Row],[Department_Region]]) - 1)</f>
        <v>DevOps</v>
      </c>
      <c r="P630" t="str">
        <f>RIGHT(Table1[[#This Row],[Department_Region]],LEN(Table1[[#This Row],[Department_Region]]) - FIND("-",Table1[[#This Row],[Department_Region]]))</f>
        <v>New York</v>
      </c>
      <c r="Q6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0" s="15"/>
    </row>
    <row r="631" spans="1:18" x14ac:dyDescent="0.2">
      <c r="A631" s="1">
        <v>629</v>
      </c>
      <c r="B631" s="6" t="s">
        <v>1109</v>
      </c>
      <c r="C631" t="s">
        <v>54</v>
      </c>
      <c r="D631" t="s">
        <v>14</v>
      </c>
      <c r="E631">
        <v>25</v>
      </c>
      <c r="F631" t="s">
        <v>90</v>
      </c>
      <c r="G631" t="s">
        <v>33</v>
      </c>
      <c r="H631" s="6" t="s">
        <v>633</v>
      </c>
      <c r="I631" s="11">
        <v>73690.649999999994</v>
      </c>
      <c r="J631" t="s">
        <v>173</v>
      </c>
      <c r="K631">
        <v>-2337209483</v>
      </c>
      <c r="L631" t="s">
        <v>30</v>
      </c>
      <c r="M631" t="b">
        <v>1</v>
      </c>
      <c r="N631" s="17">
        <f t="shared" si="9"/>
        <v>45440</v>
      </c>
      <c r="O631" t="str">
        <f>LEFT(Table1[[#This Row],[Department_Region]], FIND("-", Table1[[#This Row],[Department_Region]]) - 1)</f>
        <v>Admin</v>
      </c>
      <c r="P631" t="str">
        <f>RIGHT(Table1[[#This Row],[Department_Region]],LEN(Table1[[#This Row],[Department_Region]]) - FIND("-",Table1[[#This Row],[Department_Region]]))</f>
        <v>Illinois</v>
      </c>
      <c r="Q6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1" s="15"/>
    </row>
    <row r="632" spans="1:18" x14ac:dyDescent="0.2">
      <c r="A632" s="1">
        <v>630</v>
      </c>
      <c r="B632" s="6" t="s">
        <v>1110</v>
      </c>
      <c r="C632" t="s">
        <v>25</v>
      </c>
      <c r="D632" t="s">
        <v>124</v>
      </c>
      <c r="E632">
        <v>30</v>
      </c>
      <c r="F632" t="s">
        <v>101</v>
      </c>
      <c r="G632" t="s">
        <v>16</v>
      </c>
      <c r="H632" s="6" t="s">
        <v>1724</v>
      </c>
      <c r="I632" s="11">
        <v>56376.2</v>
      </c>
      <c r="J632" t="s">
        <v>185</v>
      </c>
      <c r="K632">
        <v>-1312840332</v>
      </c>
      <c r="L632" t="s">
        <v>18</v>
      </c>
      <c r="M632" t="b">
        <v>1</v>
      </c>
      <c r="N632" s="17">
        <f t="shared" si="9"/>
        <v>45478</v>
      </c>
      <c r="O632" t="str">
        <f>LEFT(Table1[[#This Row],[Department_Region]], FIND("-", Table1[[#This Row],[Department_Region]]) - 1)</f>
        <v>Finance</v>
      </c>
      <c r="P632" t="str">
        <f>RIGHT(Table1[[#This Row],[Department_Region]],LEN(Table1[[#This Row],[Department_Region]]) - FIND("-",Table1[[#This Row],[Department_Region]]))</f>
        <v>Nevada</v>
      </c>
      <c r="Q6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32" s="15"/>
    </row>
    <row r="633" spans="1:18" x14ac:dyDescent="0.2">
      <c r="A633" s="1">
        <v>631</v>
      </c>
      <c r="B633" s="6" t="s">
        <v>1111</v>
      </c>
      <c r="C633" t="s">
        <v>69</v>
      </c>
      <c r="D633" t="s">
        <v>20</v>
      </c>
      <c r="E633">
        <v>25</v>
      </c>
      <c r="F633" t="s">
        <v>272</v>
      </c>
      <c r="G633" t="s">
        <v>16</v>
      </c>
      <c r="H633" s="6" t="s">
        <v>505</v>
      </c>
      <c r="I633" s="11">
        <v>55602.78</v>
      </c>
      <c r="J633" t="s">
        <v>204</v>
      </c>
      <c r="K633">
        <v>-9977180512</v>
      </c>
      <c r="L633" t="s">
        <v>30</v>
      </c>
      <c r="M633" t="b">
        <v>0</v>
      </c>
      <c r="N633" s="17">
        <f t="shared" si="9"/>
        <v>44590</v>
      </c>
      <c r="O633" t="str">
        <f>LEFT(Table1[[#This Row],[Department_Region]], FIND("-", Table1[[#This Row],[Department_Region]]) - 1)</f>
        <v>Cloud Tech</v>
      </c>
      <c r="P633" t="str">
        <f>RIGHT(Table1[[#This Row],[Department_Region]],LEN(Table1[[#This Row],[Department_Region]]) - FIND("-",Table1[[#This Row],[Department_Region]]))</f>
        <v>California</v>
      </c>
      <c r="Q6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33" s="15"/>
    </row>
    <row r="634" spans="1:18" x14ac:dyDescent="0.2">
      <c r="A634" s="1">
        <v>632</v>
      </c>
      <c r="B634" s="6" t="s">
        <v>1112</v>
      </c>
      <c r="C634" t="s">
        <v>69</v>
      </c>
      <c r="D634" t="s">
        <v>26</v>
      </c>
      <c r="E634">
        <v>40</v>
      </c>
      <c r="F634" t="s">
        <v>222</v>
      </c>
      <c r="G634" t="s">
        <v>28</v>
      </c>
      <c r="H634" s="6" t="s">
        <v>1855</v>
      </c>
      <c r="I634" s="11">
        <v>99812.41</v>
      </c>
      <c r="J634" t="s">
        <v>77</v>
      </c>
      <c r="K634">
        <v>-7171731892</v>
      </c>
      <c r="L634" t="s">
        <v>30</v>
      </c>
      <c r="M634" t="b">
        <v>0</v>
      </c>
      <c r="N634" s="17">
        <f t="shared" si="9"/>
        <v>44417</v>
      </c>
      <c r="O634" t="str">
        <f>LEFT(Table1[[#This Row],[Department_Region]], FIND("-", Table1[[#This Row],[Department_Region]]) - 1)</f>
        <v>Sales</v>
      </c>
      <c r="P634" t="str">
        <f>RIGHT(Table1[[#This Row],[Department_Region]],LEN(Table1[[#This Row],[Department_Region]]) - FIND("-",Table1[[#This Row],[Department_Region]]))</f>
        <v>Nevada</v>
      </c>
      <c r="Q6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34" s="15"/>
    </row>
    <row r="635" spans="1:18" x14ac:dyDescent="0.2">
      <c r="A635" s="1">
        <v>633</v>
      </c>
      <c r="B635" s="6" t="s">
        <v>1113</v>
      </c>
      <c r="C635" t="s">
        <v>54</v>
      </c>
      <c r="D635" t="s">
        <v>124</v>
      </c>
      <c r="E635">
        <v>40</v>
      </c>
      <c r="F635" t="s">
        <v>21</v>
      </c>
      <c r="G635" t="s">
        <v>16</v>
      </c>
      <c r="H635" s="6" t="s">
        <v>1867</v>
      </c>
      <c r="I635" s="11">
        <v>95981.9</v>
      </c>
      <c r="J635" t="s">
        <v>197</v>
      </c>
      <c r="K635">
        <v>-9749096172</v>
      </c>
      <c r="L635" t="s">
        <v>18</v>
      </c>
      <c r="M635" t="b">
        <v>1</v>
      </c>
      <c r="N635" s="17">
        <f t="shared" si="9"/>
        <v>45572</v>
      </c>
      <c r="O635" t="str">
        <f>LEFT(Table1[[#This Row],[Department_Region]], FIND("-", Table1[[#This Row],[Department_Region]]) - 1)</f>
        <v>Finance</v>
      </c>
      <c r="P635" t="str">
        <f>RIGHT(Table1[[#This Row],[Department_Region]],LEN(Table1[[#This Row],[Department_Region]]) - FIND("-",Table1[[#This Row],[Department_Region]]))</f>
        <v>Texas</v>
      </c>
      <c r="Q6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5" s="15"/>
    </row>
    <row r="636" spans="1:18" x14ac:dyDescent="0.2">
      <c r="A636" s="1">
        <v>634</v>
      </c>
      <c r="B636" s="6" t="s">
        <v>1114</v>
      </c>
      <c r="C636" t="s">
        <v>32</v>
      </c>
      <c r="D636" t="s">
        <v>55</v>
      </c>
      <c r="E636">
        <v>30</v>
      </c>
      <c r="F636" t="s">
        <v>96</v>
      </c>
      <c r="G636" t="s">
        <v>28</v>
      </c>
      <c r="H636" s="6" t="s">
        <v>1115</v>
      </c>
      <c r="I636" s="11">
        <v>98891.48</v>
      </c>
      <c r="J636" t="s">
        <v>327</v>
      </c>
      <c r="K636">
        <v>-9970469471</v>
      </c>
      <c r="L636" t="s">
        <v>30</v>
      </c>
      <c r="M636" t="b">
        <v>1</v>
      </c>
      <c r="N636" s="17">
        <f t="shared" si="9"/>
        <v>44887</v>
      </c>
      <c r="O636" t="str">
        <f>LEFT(Table1[[#This Row],[Department_Region]], FIND("-", Table1[[#This Row],[Department_Region]]) - 1)</f>
        <v>Cloud Tech</v>
      </c>
      <c r="P636" t="str">
        <f>RIGHT(Table1[[#This Row],[Department_Region]],LEN(Table1[[#This Row],[Department_Region]]) - FIND("-",Table1[[#This Row],[Department_Region]]))</f>
        <v>Illinois</v>
      </c>
      <c r="Q6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6" s="15"/>
    </row>
    <row r="637" spans="1:18" x14ac:dyDescent="0.2">
      <c r="A637" s="1">
        <v>635</v>
      </c>
      <c r="B637" s="6" t="s">
        <v>1116</v>
      </c>
      <c r="C637" t="s">
        <v>25</v>
      </c>
      <c r="D637" t="s">
        <v>55</v>
      </c>
      <c r="E637">
        <v>35</v>
      </c>
      <c r="F637" t="s">
        <v>27</v>
      </c>
      <c r="G637" t="s">
        <v>16</v>
      </c>
      <c r="H637" s="6" t="s">
        <v>847</v>
      </c>
      <c r="I637" s="11">
        <v>56079</v>
      </c>
      <c r="J637" t="s">
        <v>152</v>
      </c>
      <c r="K637">
        <v>-5878444834</v>
      </c>
      <c r="L637" t="s">
        <v>18</v>
      </c>
      <c r="M637" t="b">
        <v>1</v>
      </c>
      <c r="N637" s="17">
        <f t="shared" si="9"/>
        <v>44153</v>
      </c>
      <c r="O637" t="str">
        <f>LEFT(Table1[[#This Row],[Department_Region]], FIND("-", Table1[[#This Row],[Department_Region]]) - 1)</f>
        <v>Admin</v>
      </c>
      <c r="P637" t="str">
        <f>RIGHT(Table1[[#This Row],[Department_Region]],LEN(Table1[[#This Row],[Department_Region]]) - FIND("-",Table1[[#This Row],[Department_Region]]))</f>
        <v>Nevada</v>
      </c>
      <c r="Q6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7" s="15"/>
    </row>
    <row r="638" spans="1:18" x14ac:dyDescent="0.2">
      <c r="A638" s="1">
        <v>636</v>
      </c>
      <c r="B638" s="6" t="s">
        <v>1117</v>
      </c>
      <c r="C638" t="s">
        <v>69</v>
      </c>
      <c r="D638" t="s">
        <v>124</v>
      </c>
      <c r="E638">
        <v>35</v>
      </c>
      <c r="F638" t="s">
        <v>233</v>
      </c>
      <c r="G638" t="s">
        <v>33</v>
      </c>
      <c r="H638" s="6" t="s">
        <v>1118</v>
      </c>
      <c r="I638" s="11">
        <v>85165.05</v>
      </c>
      <c r="J638" t="s">
        <v>137</v>
      </c>
      <c r="K638">
        <v>-4884712704</v>
      </c>
      <c r="L638" t="s">
        <v>30</v>
      </c>
      <c r="M638" t="b">
        <v>1</v>
      </c>
      <c r="N638" s="17">
        <f t="shared" si="9"/>
        <v>45031</v>
      </c>
      <c r="O638" t="str">
        <f>LEFT(Table1[[#This Row],[Department_Region]], FIND("-", Table1[[#This Row],[Department_Region]]) - 1)</f>
        <v>DevOps</v>
      </c>
      <c r="P638" t="str">
        <f>RIGHT(Table1[[#This Row],[Department_Region]],LEN(Table1[[#This Row],[Department_Region]]) - FIND("-",Table1[[#This Row],[Department_Region]]))</f>
        <v>Florida</v>
      </c>
      <c r="Q6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8" s="15"/>
    </row>
    <row r="639" spans="1:18" x14ac:dyDescent="0.2">
      <c r="A639" s="1">
        <v>637</v>
      </c>
      <c r="B639" s="6" t="s">
        <v>1119</v>
      </c>
      <c r="C639" t="s">
        <v>13</v>
      </c>
      <c r="D639" t="s">
        <v>14</v>
      </c>
      <c r="E639">
        <v>25</v>
      </c>
      <c r="F639" t="s">
        <v>180</v>
      </c>
      <c r="G639" t="s">
        <v>28</v>
      </c>
      <c r="H639" s="6" t="s">
        <v>473</v>
      </c>
      <c r="I639" s="11">
        <v>89137.97</v>
      </c>
      <c r="J639" t="s">
        <v>17</v>
      </c>
      <c r="K639">
        <v>-8772216416</v>
      </c>
      <c r="L639" t="s">
        <v>18</v>
      </c>
      <c r="M639" t="b">
        <v>0</v>
      </c>
      <c r="N639" s="17">
        <f t="shared" si="9"/>
        <v>45530</v>
      </c>
      <c r="O639" t="str">
        <f>LEFT(Table1[[#This Row],[Department_Region]], FIND("-", Table1[[#This Row],[Department_Region]]) - 1)</f>
        <v>Sales</v>
      </c>
      <c r="P639" t="str">
        <f>RIGHT(Table1[[#This Row],[Department_Region]],LEN(Table1[[#This Row],[Department_Region]]) - FIND("-",Table1[[#This Row],[Department_Region]]))</f>
        <v>California</v>
      </c>
      <c r="Q6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39" s="15"/>
    </row>
    <row r="640" spans="1:18" x14ac:dyDescent="0.2">
      <c r="A640" s="1">
        <v>638</v>
      </c>
      <c r="B640" s="6" t="s">
        <v>1120</v>
      </c>
      <c r="C640" t="s">
        <v>37</v>
      </c>
      <c r="D640" t="s">
        <v>55</v>
      </c>
      <c r="E640">
        <v>35</v>
      </c>
      <c r="F640" t="s">
        <v>90</v>
      </c>
      <c r="G640" t="s">
        <v>16</v>
      </c>
      <c r="H640" s="6" t="s">
        <v>1121</v>
      </c>
      <c r="I640" s="11">
        <v>115079.97</v>
      </c>
      <c r="J640" t="s">
        <v>275</v>
      </c>
      <c r="K640">
        <v>-5823133483</v>
      </c>
      <c r="L640" t="s">
        <v>23</v>
      </c>
      <c r="M640" t="b">
        <v>1</v>
      </c>
      <c r="N640" s="17">
        <f t="shared" si="9"/>
        <v>44762</v>
      </c>
      <c r="O640" t="str">
        <f>LEFT(Table1[[#This Row],[Department_Region]], FIND("-", Table1[[#This Row],[Department_Region]]) - 1)</f>
        <v>Admin</v>
      </c>
      <c r="P640" t="str">
        <f>RIGHT(Table1[[#This Row],[Department_Region]],LEN(Table1[[#This Row],[Department_Region]]) - FIND("-",Table1[[#This Row],[Department_Region]]))</f>
        <v>Illinois</v>
      </c>
      <c r="Q6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40" s="15"/>
    </row>
    <row r="641" spans="1:18" x14ac:dyDescent="0.2">
      <c r="A641" s="1">
        <v>639</v>
      </c>
      <c r="B641" s="6" t="s">
        <v>1122</v>
      </c>
      <c r="C641" t="s">
        <v>32</v>
      </c>
      <c r="D641" t="s">
        <v>43</v>
      </c>
      <c r="E641">
        <v>30</v>
      </c>
      <c r="F641" t="s">
        <v>269</v>
      </c>
      <c r="G641" t="s">
        <v>16</v>
      </c>
      <c r="H641" s="6" t="s">
        <v>1123</v>
      </c>
      <c r="I641" s="11">
        <v>55067.02</v>
      </c>
      <c r="J641" t="s">
        <v>301</v>
      </c>
      <c r="K641">
        <v>-5871493924</v>
      </c>
      <c r="L641" t="s">
        <v>41</v>
      </c>
      <c r="M641" t="b">
        <v>1</v>
      </c>
      <c r="N641" s="17">
        <f t="shared" si="9"/>
        <v>44975</v>
      </c>
      <c r="O641" t="str">
        <f>LEFT(Table1[[#This Row],[Department_Region]], FIND("-", Table1[[#This Row],[Department_Region]]) - 1)</f>
        <v>Finance</v>
      </c>
      <c r="P641" t="str">
        <f>RIGHT(Table1[[#This Row],[Department_Region]],LEN(Table1[[#This Row],[Department_Region]]) - FIND("-",Table1[[#This Row],[Department_Region]]))</f>
        <v>Illinois</v>
      </c>
      <c r="Q6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41" s="15"/>
    </row>
    <row r="642" spans="1:18" x14ac:dyDescent="0.2">
      <c r="A642" s="1">
        <v>640</v>
      </c>
      <c r="B642" s="6" t="s">
        <v>1124</v>
      </c>
      <c r="C642" t="s">
        <v>13</v>
      </c>
      <c r="D642" t="s">
        <v>93</v>
      </c>
      <c r="E642">
        <v>32</v>
      </c>
      <c r="F642" t="s">
        <v>195</v>
      </c>
      <c r="G642" t="s">
        <v>28</v>
      </c>
      <c r="H642" s="6" t="s">
        <v>1125</v>
      </c>
      <c r="I642" s="11">
        <v>98593.43</v>
      </c>
      <c r="J642" t="s">
        <v>94</v>
      </c>
      <c r="K642">
        <v>-2362292586</v>
      </c>
      <c r="L642" t="s">
        <v>18</v>
      </c>
      <c r="M642" t="b">
        <v>1</v>
      </c>
      <c r="N642" s="17">
        <f t="shared" ref="N642:N705" si="10">IF(ISNUMBER(H642), H642, DATE(RIGHT(H642, 4), LEFT(H642, FIND("/", H642) - 1), MID(H642, FIND("/", H642) + 1, FIND("/", H642, FIND("/", H642) + 1) - FIND("/", H642) - 1)))</f>
        <v>44343</v>
      </c>
      <c r="O642" t="str">
        <f>LEFT(Table1[[#This Row],[Department_Region]], FIND("-", Table1[[#This Row],[Department_Region]]) - 1)</f>
        <v>HR</v>
      </c>
      <c r="P642" t="str">
        <f>RIGHT(Table1[[#This Row],[Department_Region]],LEN(Table1[[#This Row],[Department_Region]]) - FIND("-",Table1[[#This Row],[Department_Region]]))</f>
        <v>Illinois</v>
      </c>
      <c r="Q6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42" s="15"/>
    </row>
    <row r="643" spans="1:18" x14ac:dyDescent="0.2">
      <c r="A643" s="1">
        <v>641</v>
      </c>
      <c r="B643" s="6" t="s">
        <v>1126</v>
      </c>
      <c r="C643" t="s">
        <v>65</v>
      </c>
      <c r="D643" t="s">
        <v>93</v>
      </c>
      <c r="E643">
        <v>30</v>
      </c>
      <c r="F643" t="s">
        <v>215</v>
      </c>
      <c r="G643" t="s">
        <v>28</v>
      </c>
      <c r="H643" s="6" t="s">
        <v>1868</v>
      </c>
      <c r="I643" s="11">
        <v>112756.67</v>
      </c>
      <c r="J643" t="s">
        <v>132</v>
      </c>
      <c r="K643">
        <v>-9643474523</v>
      </c>
      <c r="L643" t="s">
        <v>18</v>
      </c>
      <c r="M643" t="b">
        <v>1</v>
      </c>
      <c r="N643" s="17">
        <f t="shared" si="10"/>
        <v>44774</v>
      </c>
      <c r="O643" t="str">
        <f>LEFT(Table1[[#This Row],[Department_Region]], FIND("-", Table1[[#This Row],[Department_Region]]) - 1)</f>
        <v>HR</v>
      </c>
      <c r="P643" t="str">
        <f>RIGHT(Table1[[#This Row],[Department_Region]],LEN(Table1[[#This Row],[Department_Region]]) - FIND("-",Table1[[#This Row],[Department_Region]]))</f>
        <v>Florida</v>
      </c>
      <c r="Q6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43" s="15"/>
    </row>
    <row r="644" spans="1:18" x14ac:dyDescent="0.2">
      <c r="A644" s="1">
        <v>642</v>
      </c>
      <c r="B644" s="6" t="s">
        <v>1127</v>
      </c>
      <c r="C644" t="s">
        <v>65</v>
      </c>
      <c r="D644" t="s">
        <v>43</v>
      </c>
      <c r="E644">
        <v>25</v>
      </c>
      <c r="F644" t="s">
        <v>141</v>
      </c>
      <c r="G644" t="s">
        <v>33</v>
      </c>
      <c r="H644" s="6" t="s">
        <v>1014</v>
      </c>
      <c r="I644" s="11">
        <v>105205.92</v>
      </c>
      <c r="J644" t="s">
        <v>261</v>
      </c>
      <c r="K644">
        <v>-5557469659</v>
      </c>
      <c r="L644" t="s">
        <v>41</v>
      </c>
      <c r="M644" t="b">
        <v>0</v>
      </c>
      <c r="N644" s="17">
        <f t="shared" si="10"/>
        <v>45128</v>
      </c>
      <c r="O644" t="str">
        <f>LEFT(Table1[[#This Row],[Department_Region]], FIND("-", Table1[[#This Row],[Department_Region]]) - 1)</f>
        <v>HR</v>
      </c>
      <c r="P644" t="str">
        <f>RIGHT(Table1[[#This Row],[Department_Region]],LEN(Table1[[#This Row],[Department_Region]]) - FIND("-",Table1[[#This Row],[Department_Region]]))</f>
        <v>Texas</v>
      </c>
      <c r="Q6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44" s="15"/>
    </row>
    <row r="645" spans="1:18" x14ac:dyDescent="0.2">
      <c r="A645" s="1">
        <v>643</v>
      </c>
      <c r="B645" s="6" t="s">
        <v>1128</v>
      </c>
      <c r="C645" t="s">
        <v>59</v>
      </c>
      <c r="D645" t="s">
        <v>124</v>
      </c>
      <c r="E645">
        <v>35</v>
      </c>
      <c r="F645" t="s">
        <v>70</v>
      </c>
      <c r="G645" t="s">
        <v>28</v>
      </c>
      <c r="H645" s="6" t="s">
        <v>1753</v>
      </c>
      <c r="I645" s="11">
        <v>50680.62</v>
      </c>
      <c r="J645" t="s">
        <v>346</v>
      </c>
      <c r="K645">
        <v>-6065274032</v>
      </c>
      <c r="L645" t="s">
        <v>18</v>
      </c>
      <c r="M645" t="b">
        <v>1</v>
      </c>
      <c r="N645" s="17">
        <f t="shared" si="10"/>
        <v>44928</v>
      </c>
      <c r="O645" t="str">
        <f>LEFT(Table1[[#This Row],[Department_Region]], FIND("-", Table1[[#This Row],[Department_Region]]) - 1)</f>
        <v>Finance</v>
      </c>
      <c r="P645" t="str">
        <f>RIGHT(Table1[[#This Row],[Department_Region]],LEN(Table1[[#This Row],[Department_Region]]) - FIND("-",Table1[[#This Row],[Department_Region]]))</f>
        <v>California</v>
      </c>
      <c r="Q6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45" s="15"/>
    </row>
    <row r="646" spans="1:18" x14ac:dyDescent="0.2">
      <c r="A646" s="1">
        <v>644</v>
      </c>
      <c r="B646" s="6" t="s">
        <v>1129</v>
      </c>
      <c r="C646" t="s">
        <v>59</v>
      </c>
      <c r="D646" t="s">
        <v>43</v>
      </c>
      <c r="E646">
        <v>35</v>
      </c>
      <c r="F646" t="s">
        <v>39</v>
      </c>
      <c r="G646" t="s">
        <v>28</v>
      </c>
      <c r="H646" s="6" t="s">
        <v>1130</v>
      </c>
      <c r="I646" s="11">
        <v>107475.23</v>
      </c>
      <c r="J646" t="s">
        <v>102</v>
      </c>
      <c r="K646">
        <v>-4450566587</v>
      </c>
      <c r="L646" t="s">
        <v>18</v>
      </c>
      <c r="M646" t="b">
        <v>0</v>
      </c>
      <c r="N646" s="17">
        <f t="shared" si="10"/>
        <v>45364</v>
      </c>
      <c r="O646" t="str">
        <f>LEFT(Table1[[#This Row],[Department_Region]], FIND("-", Table1[[#This Row],[Department_Region]]) - 1)</f>
        <v>Cloud Tech</v>
      </c>
      <c r="P646" t="str">
        <f>RIGHT(Table1[[#This Row],[Department_Region]],LEN(Table1[[#This Row],[Department_Region]]) - FIND("-",Table1[[#This Row],[Department_Region]]))</f>
        <v>Florida</v>
      </c>
      <c r="Q6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46" s="15"/>
    </row>
    <row r="647" spans="1:18" x14ac:dyDescent="0.2">
      <c r="A647" s="1">
        <v>645</v>
      </c>
      <c r="B647" s="6" t="s">
        <v>1131</v>
      </c>
      <c r="C647" t="s">
        <v>54</v>
      </c>
      <c r="D647" t="s">
        <v>26</v>
      </c>
      <c r="E647">
        <v>40</v>
      </c>
      <c r="F647" t="s">
        <v>148</v>
      </c>
      <c r="G647" t="s">
        <v>16</v>
      </c>
      <c r="H647" s="6" t="s">
        <v>1132</v>
      </c>
      <c r="I647" s="11">
        <v>68835.3</v>
      </c>
      <c r="J647" t="s">
        <v>122</v>
      </c>
      <c r="K647">
        <v>-3398741131</v>
      </c>
      <c r="L647" t="s">
        <v>30</v>
      </c>
      <c r="M647" t="b">
        <v>1</v>
      </c>
      <c r="N647" s="17">
        <f t="shared" si="10"/>
        <v>45005</v>
      </c>
      <c r="O647" t="str">
        <f>LEFT(Table1[[#This Row],[Department_Region]], FIND("-", Table1[[#This Row],[Department_Region]]) - 1)</f>
        <v>HR</v>
      </c>
      <c r="P647" t="str">
        <f>RIGHT(Table1[[#This Row],[Department_Region]],LEN(Table1[[#This Row],[Department_Region]]) - FIND("-",Table1[[#This Row],[Department_Region]]))</f>
        <v>California</v>
      </c>
      <c r="Q6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47" s="15"/>
    </row>
    <row r="648" spans="1:18" x14ac:dyDescent="0.2">
      <c r="A648" s="1">
        <v>646</v>
      </c>
      <c r="B648" s="6" t="s">
        <v>1133</v>
      </c>
      <c r="C648" t="s">
        <v>59</v>
      </c>
      <c r="D648" t="s">
        <v>26</v>
      </c>
      <c r="E648">
        <v>40</v>
      </c>
      <c r="F648" t="s">
        <v>56</v>
      </c>
      <c r="G648" t="s">
        <v>16</v>
      </c>
      <c r="H648" s="6" t="s">
        <v>1134</v>
      </c>
      <c r="I648" s="11">
        <v>66943.960000000006</v>
      </c>
      <c r="J648" t="s">
        <v>246</v>
      </c>
      <c r="K648">
        <v>-5797067348</v>
      </c>
      <c r="L648" t="s">
        <v>41</v>
      </c>
      <c r="M648" t="b">
        <v>1</v>
      </c>
      <c r="N648" s="17">
        <f t="shared" si="10"/>
        <v>45337</v>
      </c>
      <c r="O648" t="str">
        <f>LEFT(Table1[[#This Row],[Department_Region]], FIND("-", Table1[[#This Row],[Department_Region]]) - 1)</f>
        <v>DevOps</v>
      </c>
      <c r="P648" t="str">
        <f>RIGHT(Table1[[#This Row],[Department_Region]],LEN(Table1[[#This Row],[Department_Region]]) - FIND("-",Table1[[#This Row],[Department_Region]]))</f>
        <v>New York</v>
      </c>
      <c r="Q6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48" s="15"/>
    </row>
    <row r="649" spans="1:18" x14ac:dyDescent="0.2">
      <c r="A649" s="1">
        <v>647</v>
      </c>
      <c r="B649" s="6" t="s">
        <v>1135</v>
      </c>
      <c r="C649" t="s">
        <v>59</v>
      </c>
      <c r="D649" t="s">
        <v>124</v>
      </c>
      <c r="E649">
        <v>30</v>
      </c>
      <c r="F649" t="s">
        <v>90</v>
      </c>
      <c r="G649" t="s">
        <v>33</v>
      </c>
      <c r="H649" s="6" t="s">
        <v>1136</v>
      </c>
      <c r="I649" s="11">
        <v>104525.69</v>
      </c>
      <c r="J649" t="s">
        <v>346</v>
      </c>
      <c r="K649">
        <v>-9601054856</v>
      </c>
      <c r="L649" t="s">
        <v>23</v>
      </c>
      <c r="M649" t="b">
        <v>0</v>
      </c>
      <c r="N649" s="17">
        <f t="shared" si="10"/>
        <v>44150</v>
      </c>
      <c r="O649" t="str">
        <f>LEFT(Table1[[#This Row],[Department_Region]], FIND("-", Table1[[#This Row],[Department_Region]]) - 1)</f>
        <v>Admin</v>
      </c>
      <c r="P649" t="str">
        <f>RIGHT(Table1[[#This Row],[Department_Region]],LEN(Table1[[#This Row],[Department_Region]]) - FIND("-",Table1[[#This Row],[Department_Region]]))</f>
        <v>Illinois</v>
      </c>
      <c r="Q6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49" s="15"/>
    </row>
    <row r="650" spans="1:18" x14ac:dyDescent="0.2">
      <c r="A650" s="1">
        <v>648</v>
      </c>
      <c r="B650" s="6" t="s">
        <v>1137</v>
      </c>
      <c r="C650" t="s">
        <v>13</v>
      </c>
      <c r="D650" t="s">
        <v>43</v>
      </c>
      <c r="E650">
        <v>40</v>
      </c>
      <c r="F650" t="s">
        <v>44</v>
      </c>
      <c r="G650" t="s">
        <v>28</v>
      </c>
      <c r="H650" s="6" t="s">
        <v>1138</v>
      </c>
      <c r="I650" s="11">
        <v>109360.74</v>
      </c>
      <c r="J650" t="s">
        <v>155</v>
      </c>
      <c r="K650">
        <v>-4172156228</v>
      </c>
      <c r="L650" t="s">
        <v>18</v>
      </c>
      <c r="M650" t="b">
        <v>1</v>
      </c>
      <c r="N650" s="17">
        <f t="shared" si="10"/>
        <v>43917</v>
      </c>
      <c r="O650" t="str">
        <f>LEFT(Table1[[#This Row],[Department_Region]], FIND("-", Table1[[#This Row],[Department_Region]]) - 1)</f>
        <v>Sales</v>
      </c>
      <c r="P650" t="str">
        <f>RIGHT(Table1[[#This Row],[Department_Region]],LEN(Table1[[#This Row],[Department_Region]]) - FIND("-",Table1[[#This Row],[Department_Region]]))</f>
        <v>Texas</v>
      </c>
      <c r="Q6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50" s="15"/>
    </row>
    <row r="651" spans="1:18" x14ac:dyDescent="0.2">
      <c r="A651" s="1">
        <v>649</v>
      </c>
      <c r="B651" s="6" t="s">
        <v>1139</v>
      </c>
      <c r="C651" t="s">
        <v>37</v>
      </c>
      <c r="D651" t="s">
        <v>26</v>
      </c>
      <c r="E651">
        <v>40</v>
      </c>
      <c r="F651" t="s">
        <v>180</v>
      </c>
      <c r="G651" t="s">
        <v>33</v>
      </c>
      <c r="H651" s="6" t="s">
        <v>1869</v>
      </c>
      <c r="I651" s="11">
        <v>118907.63</v>
      </c>
      <c r="J651" t="s">
        <v>47</v>
      </c>
      <c r="K651">
        <v>-4938173597</v>
      </c>
      <c r="L651" t="s">
        <v>41</v>
      </c>
      <c r="M651" t="b">
        <v>0</v>
      </c>
      <c r="N651" s="17">
        <f t="shared" si="10"/>
        <v>44205</v>
      </c>
      <c r="O651" t="str">
        <f>LEFT(Table1[[#This Row],[Department_Region]], FIND("-", Table1[[#This Row],[Department_Region]]) - 1)</f>
        <v>Sales</v>
      </c>
      <c r="P651" t="str">
        <f>RIGHT(Table1[[#This Row],[Department_Region]],LEN(Table1[[#This Row],[Department_Region]]) - FIND("-",Table1[[#This Row],[Department_Region]]))</f>
        <v>California</v>
      </c>
      <c r="Q6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51" s="15"/>
    </row>
    <row r="652" spans="1:18" x14ac:dyDescent="0.2">
      <c r="A652" s="1">
        <v>650</v>
      </c>
      <c r="B652" s="6" t="s">
        <v>1140</v>
      </c>
      <c r="C652" t="s">
        <v>32</v>
      </c>
      <c r="D652" t="s">
        <v>14</v>
      </c>
      <c r="E652">
        <v>40</v>
      </c>
      <c r="F652" t="s">
        <v>90</v>
      </c>
      <c r="G652" t="s">
        <v>16</v>
      </c>
      <c r="H652" s="6" t="s">
        <v>1141</v>
      </c>
      <c r="I652" s="11">
        <v>86801.48</v>
      </c>
      <c r="J652" t="s">
        <v>35</v>
      </c>
      <c r="K652">
        <v>-4884021556</v>
      </c>
      <c r="L652" t="s">
        <v>30</v>
      </c>
      <c r="M652" t="b">
        <v>0</v>
      </c>
      <c r="N652" s="17">
        <f t="shared" si="10"/>
        <v>43941</v>
      </c>
      <c r="O652" t="str">
        <f>LEFT(Table1[[#This Row],[Department_Region]], FIND("-", Table1[[#This Row],[Department_Region]]) - 1)</f>
        <v>Admin</v>
      </c>
      <c r="P652" t="str">
        <f>RIGHT(Table1[[#This Row],[Department_Region]],LEN(Table1[[#This Row],[Department_Region]]) - FIND("-",Table1[[#This Row],[Department_Region]]))</f>
        <v>Illinois</v>
      </c>
      <c r="Q6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52" s="15"/>
    </row>
    <row r="653" spans="1:18" x14ac:dyDescent="0.2">
      <c r="A653" s="1">
        <v>651</v>
      </c>
      <c r="B653" s="6" t="s">
        <v>1142</v>
      </c>
      <c r="C653" t="s">
        <v>25</v>
      </c>
      <c r="D653" t="s">
        <v>43</v>
      </c>
      <c r="E653">
        <v>32</v>
      </c>
      <c r="F653" t="s">
        <v>215</v>
      </c>
      <c r="G653" t="s">
        <v>28</v>
      </c>
      <c r="H653" s="6" t="s">
        <v>1870</v>
      </c>
      <c r="I653" s="11">
        <v>62236.03</v>
      </c>
      <c r="J653" t="s">
        <v>45</v>
      </c>
      <c r="K653">
        <v>-3257375533</v>
      </c>
      <c r="L653" t="s">
        <v>23</v>
      </c>
      <c r="M653" t="b">
        <v>1</v>
      </c>
      <c r="N653" s="17">
        <f t="shared" si="10"/>
        <v>45420</v>
      </c>
      <c r="O653" t="str">
        <f>LEFT(Table1[[#This Row],[Department_Region]], FIND("-", Table1[[#This Row],[Department_Region]]) - 1)</f>
        <v>HR</v>
      </c>
      <c r="P653" t="str">
        <f>RIGHT(Table1[[#This Row],[Department_Region]],LEN(Table1[[#This Row],[Department_Region]]) - FIND("-",Table1[[#This Row],[Department_Region]]))</f>
        <v>Florida</v>
      </c>
      <c r="Q6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53" s="15"/>
    </row>
    <row r="654" spans="1:18" x14ac:dyDescent="0.2">
      <c r="A654" s="1">
        <v>652</v>
      </c>
      <c r="B654" s="6" t="s">
        <v>1143</v>
      </c>
      <c r="C654" t="s">
        <v>65</v>
      </c>
      <c r="D654" t="s">
        <v>14</v>
      </c>
      <c r="E654">
        <v>35</v>
      </c>
      <c r="F654" t="s">
        <v>241</v>
      </c>
      <c r="G654" t="s">
        <v>16</v>
      </c>
      <c r="H654" s="6" t="s">
        <v>790</v>
      </c>
      <c r="I654" s="11">
        <v>64752.67</v>
      </c>
      <c r="J654" t="s">
        <v>400</v>
      </c>
      <c r="K654">
        <v>-4902166669</v>
      </c>
      <c r="L654" t="s">
        <v>41</v>
      </c>
      <c r="M654" t="b">
        <v>0</v>
      </c>
      <c r="N654" s="17">
        <f t="shared" si="10"/>
        <v>45211</v>
      </c>
      <c r="O654" t="str">
        <f>LEFT(Table1[[#This Row],[Department_Region]], FIND("-", Table1[[#This Row],[Department_Region]]) - 1)</f>
        <v>DevOps</v>
      </c>
      <c r="P654" t="str">
        <f>RIGHT(Table1[[#This Row],[Department_Region]],LEN(Table1[[#This Row],[Department_Region]]) - FIND("-",Table1[[#This Row],[Department_Region]]))</f>
        <v>Texas</v>
      </c>
      <c r="Q6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54" s="15"/>
    </row>
    <row r="655" spans="1:18" x14ac:dyDescent="0.2">
      <c r="A655" s="1">
        <v>653</v>
      </c>
      <c r="B655" s="6" t="s">
        <v>1144</v>
      </c>
      <c r="C655" t="s">
        <v>37</v>
      </c>
      <c r="D655" t="s">
        <v>26</v>
      </c>
      <c r="E655">
        <v>35</v>
      </c>
      <c r="F655" t="s">
        <v>180</v>
      </c>
      <c r="G655" t="s">
        <v>16</v>
      </c>
      <c r="H655" s="6" t="s">
        <v>1145</v>
      </c>
      <c r="I655" s="11">
        <v>68399.429999999993</v>
      </c>
      <c r="J655" t="s">
        <v>47</v>
      </c>
      <c r="K655">
        <v>-8085096084</v>
      </c>
      <c r="L655" t="s">
        <v>23</v>
      </c>
      <c r="M655" t="b">
        <v>0</v>
      </c>
      <c r="N655" s="17">
        <f t="shared" si="10"/>
        <v>44954</v>
      </c>
      <c r="O655" t="str">
        <f>LEFT(Table1[[#This Row],[Department_Region]], FIND("-", Table1[[#This Row],[Department_Region]]) - 1)</f>
        <v>Sales</v>
      </c>
      <c r="P655" t="str">
        <f>RIGHT(Table1[[#This Row],[Department_Region]],LEN(Table1[[#This Row],[Department_Region]]) - FIND("-",Table1[[#This Row],[Department_Region]]))</f>
        <v>California</v>
      </c>
      <c r="Q6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55" s="15"/>
    </row>
    <row r="656" spans="1:18" x14ac:dyDescent="0.2">
      <c r="A656" s="1">
        <v>654</v>
      </c>
      <c r="B656" s="6" t="s">
        <v>1146</v>
      </c>
      <c r="C656" t="s">
        <v>37</v>
      </c>
      <c r="D656" t="s">
        <v>93</v>
      </c>
      <c r="E656">
        <v>35</v>
      </c>
      <c r="F656" t="s">
        <v>208</v>
      </c>
      <c r="G656" t="s">
        <v>33</v>
      </c>
      <c r="H656" s="6" t="s">
        <v>1871</v>
      </c>
      <c r="I656" s="11">
        <v>79336.509999999995</v>
      </c>
      <c r="J656" t="s">
        <v>111</v>
      </c>
      <c r="K656">
        <v>-8749511917</v>
      </c>
      <c r="L656" t="s">
        <v>23</v>
      </c>
      <c r="M656" t="b">
        <v>0</v>
      </c>
      <c r="N656" s="17">
        <f t="shared" si="10"/>
        <v>44262</v>
      </c>
      <c r="O656" t="str">
        <f>LEFT(Table1[[#This Row],[Department_Region]], FIND("-", Table1[[#This Row],[Department_Region]]) - 1)</f>
        <v>Admin</v>
      </c>
      <c r="P656" t="str">
        <f>RIGHT(Table1[[#This Row],[Department_Region]],LEN(Table1[[#This Row],[Department_Region]]) - FIND("-",Table1[[#This Row],[Department_Region]]))</f>
        <v>Florida</v>
      </c>
      <c r="Q6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56" s="15"/>
    </row>
    <row r="657" spans="1:18" x14ac:dyDescent="0.2">
      <c r="A657" s="1">
        <v>655</v>
      </c>
      <c r="B657" s="6" t="s">
        <v>1147</v>
      </c>
      <c r="C657" t="s">
        <v>37</v>
      </c>
      <c r="D657" t="s">
        <v>26</v>
      </c>
      <c r="E657">
        <v>40</v>
      </c>
      <c r="F657" t="s">
        <v>215</v>
      </c>
      <c r="G657" t="s">
        <v>16</v>
      </c>
      <c r="H657" s="6" t="s">
        <v>1148</v>
      </c>
      <c r="I657" s="11">
        <v>59179.74</v>
      </c>
      <c r="J657" t="s">
        <v>47</v>
      </c>
      <c r="K657">
        <v>-1828197930</v>
      </c>
      <c r="L657" t="s">
        <v>23</v>
      </c>
      <c r="M657" t="b">
        <v>0</v>
      </c>
      <c r="N657" s="17">
        <f t="shared" si="10"/>
        <v>45001</v>
      </c>
      <c r="O657" t="str">
        <f>LEFT(Table1[[#This Row],[Department_Region]], FIND("-", Table1[[#This Row],[Department_Region]]) - 1)</f>
        <v>HR</v>
      </c>
      <c r="P657" t="str">
        <f>RIGHT(Table1[[#This Row],[Department_Region]],LEN(Table1[[#This Row],[Department_Region]]) - FIND("-",Table1[[#This Row],[Department_Region]]))</f>
        <v>Florida</v>
      </c>
      <c r="Q6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57" s="15"/>
    </row>
    <row r="658" spans="1:18" x14ac:dyDescent="0.2">
      <c r="A658" s="1">
        <v>656</v>
      </c>
      <c r="B658" s="6" t="s">
        <v>1149</v>
      </c>
      <c r="C658" t="s">
        <v>59</v>
      </c>
      <c r="D658" t="s">
        <v>14</v>
      </c>
      <c r="E658">
        <v>25</v>
      </c>
      <c r="F658" t="s">
        <v>15</v>
      </c>
      <c r="G658" t="s">
        <v>16</v>
      </c>
      <c r="H658" s="6" t="s">
        <v>1872</v>
      </c>
      <c r="I658" s="11">
        <v>80255.31</v>
      </c>
      <c r="J658" t="s">
        <v>63</v>
      </c>
      <c r="K658">
        <v>-6477251294</v>
      </c>
      <c r="L658" t="s">
        <v>18</v>
      </c>
      <c r="M658" t="b">
        <v>0</v>
      </c>
      <c r="N658" s="17">
        <f t="shared" si="10"/>
        <v>44968</v>
      </c>
      <c r="O658" t="str">
        <f>LEFT(Table1[[#This Row],[Department_Region]], FIND("-", Table1[[#This Row],[Department_Region]]) - 1)</f>
        <v>DevOps</v>
      </c>
      <c r="P658" t="str">
        <f>RIGHT(Table1[[#This Row],[Department_Region]],LEN(Table1[[#This Row],[Department_Region]]) - FIND("-",Table1[[#This Row],[Department_Region]]))</f>
        <v>California</v>
      </c>
      <c r="Q6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58" s="15"/>
    </row>
    <row r="659" spans="1:18" x14ac:dyDescent="0.2">
      <c r="A659" s="1">
        <v>657</v>
      </c>
      <c r="B659" s="6" t="s">
        <v>1150</v>
      </c>
      <c r="C659" t="s">
        <v>54</v>
      </c>
      <c r="D659" t="s">
        <v>38</v>
      </c>
      <c r="E659">
        <v>30</v>
      </c>
      <c r="F659" t="s">
        <v>21</v>
      </c>
      <c r="G659" t="s">
        <v>16</v>
      </c>
      <c r="H659" s="6" t="s">
        <v>1151</v>
      </c>
      <c r="I659" s="11">
        <v>84971.85</v>
      </c>
      <c r="J659" t="s">
        <v>91</v>
      </c>
      <c r="K659">
        <v>-7860694095</v>
      </c>
      <c r="L659" t="s">
        <v>18</v>
      </c>
      <c r="M659" t="b">
        <v>0</v>
      </c>
      <c r="N659" s="17">
        <f t="shared" si="10"/>
        <v>44694</v>
      </c>
      <c r="O659" t="str">
        <f>LEFT(Table1[[#This Row],[Department_Region]], FIND("-", Table1[[#This Row],[Department_Region]]) - 1)</f>
        <v>Finance</v>
      </c>
      <c r="P659" t="str">
        <f>RIGHT(Table1[[#This Row],[Department_Region]],LEN(Table1[[#This Row],[Department_Region]]) - FIND("-",Table1[[#This Row],[Department_Region]]))</f>
        <v>Texas</v>
      </c>
      <c r="Q6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59" s="15"/>
    </row>
    <row r="660" spans="1:18" x14ac:dyDescent="0.2">
      <c r="A660" s="1">
        <v>658</v>
      </c>
      <c r="B660" s="6" t="s">
        <v>1152</v>
      </c>
      <c r="C660" t="s">
        <v>37</v>
      </c>
      <c r="D660" t="s">
        <v>20</v>
      </c>
      <c r="E660">
        <v>40</v>
      </c>
      <c r="F660" t="s">
        <v>148</v>
      </c>
      <c r="G660" t="s">
        <v>28</v>
      </c>
      <c r="H660" s="6" t="s">
        <v>1153</v>
      </c>
      <c r="I660" s="11">
        <v>89748.42</v>
      </c>
      <c r="J660" t="s">
        <v>243</v>
      </c>
      <c r="K660">
        <v>-35624394</v>
      </c>
      <c r="L660" t="s">
        <v>30</v>
      </c>
      <c r="M660" t="b">
        <v>0</v>
      </c>
      <c r="N660" s="17">
        <f t="shared" si="10"/>
        <v>45589</v>
      </c>
      <c r="O660" t="str">
        <f>LEFT(Table1[[#This Row],[Department_Region]], FIND("-", Table1[[#This Row],[Department_Region]]) - 1)</f>
        <v>HR</v>
      </c>
      <c r="P660" t="str">
        <f>RIGHT(Table1[[#This Row],[Department_Region]],LEN(Table1[[#This Row],[Department_Region]]) - FIND("-",Table1[[#This Row],[Department_Region]]))</f>
        <v>California</v>
      </c>
      <c r="Q6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60" s="15"/>
    </row>
    <row r="661" spans="1:18" x14ac:dyDescent="0.2">
      <c r="A661" s="1">
        <v>659</v>
      </c>
      <c r="B661" s="6" t="s">
        <v>1154</v>
      </c>
      <c r="C661" t="s">
        <v>54</v>
      </c>
      <c r="D661" t="s">
        <v>55</v>
      </c>
      <c r="E661">
        <v>25</v>
      </c>
      <c r="F661" t="s">
        <v>120</v>
      </c>
      <c r="G661" t="s">
        <v>33</v>
      </c>
      <c r="H661" s="6" t="s">
        <v>836</v>
      </c>
      <c r="I661" s="11">
        <v>94090.35</v>
      </c>
      <c r="J661" t="s">
        <v>57</v>
      </c>
      <c r="K661">
        <v>-8739592322</v>
      </c>
      <c r="L661" t="s">
        <v>30</v>
      </c>
      <c r="M661" t="b">
        <v>0</v>
      </c>
      <c r="N661" s="17">
        <f t="shared" si="10"/>
        <v>45549</v>
      </c>
      <c r="O661" t="str">
        <f>LEFT(Table1[[#This Row],[Department_Region]], FIND("-", Table1[[#This Row],[Department_Region]]) - 1)</f>
        <v>Admin</v>
      </c>
      <c r="P661" t="str">
        <f>RIGHT(Table1[[#This Row],[Department_Region]],LEN(Table1[[#This Row],[Department_Region]]) - FIND("-",Table1[[#This Row],[Department_Region]]))</f>
        <v>California</v>
      </c>
      <c r="Q6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61" s="15"/>
    </row>
    <row r="662" spans="1:18" x14ac:dyDescent="0.2">
      <c r="A662" s="1">
        <v>660</v>
      </c>
      <c r="B662" s="6" t="s">
        <v>1155</v>
      </c>
      <c r="C662" t="s">
        <v>37</v>
      </c>
      <c r="D662" t="s">
        <v>43</v>
      </c>
      <c r="E662">
        <v>35</v>
      </c>
      <c r="F662" t="s">
        <v>148</v>
      </c>
      <c r="G662" t="s">
        <v>28</v>
      </c>
      <c r="H662" s="6" t="s">
        <v>985</v>
      </c>
      <c r="I662" s="11">
        <v>115229.12</v>
      </c>
      <c r="J662" t="s">
        <v>183</v>
      </c>
      <c r="K662">
        <v>-4210890284</v>
      </c>
      <c r="L662" t="s">
        <v>41</v>
      </c>
      <c r="M662" t="b">
        <v>1</v>
      </c>
      <c r="N662" s="17">
        <f t="shared" si="10"/>
        <v>44972</v>
      </c>
      <c r="O662" t="str">
        <f>LEFT(Table1[[#This Row],[Department_Region]], FIND("-", Table1[[#This Row],[Department_Region]]) - 1)</f>
        <v>HR</v>
      </c>
      <c r="P662" t="str">
        <f>RIGHT(Table1[[#This Row],[Department_Region]],LEN(Table1[[#This Row],[Department_Region]]) - FIND("-",Table1[[#This Row],[Department_Region]]))</f>
        <v>California</v>
      </c>
      <c r="Q6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62" s="15"/>
    </row>
    <row r="663" spans="1:18" x14ac:dyDescent="0.2">
      <c r="A663" s="1">
        <v>661</v>
      </c>
      <c r="B663" s="6" t="s">
        <v>1156</v>
      </c>
      <c r="C663" t="s">
        <v>25</v>
      </c>
      <c r="D663" t="s">
        <v>38</v>
      </c>
      <c r="E663">
        <v>40</v>
      </c>
      <c r="F663" t="s">
        <v>272</v>
      </c>
      <c r="G663" t="s">
        <v>28</v>
      </c>
      <c r="H663" s="6" t="s">
        <v>1157</v>
      </c>
      <c r="I663" s="11">
        <v>63927.07</v>
      </c>
      <c r="J663" t="s">
        <v>368</v>
      </c>
      <c r="K663">
        <v>-1553334263</v>
      </c>
      <c r="L663" t="s">
        <v>30</v>
      </c>
      <c r="M663" t="b">
        <v>1</v>
      </c>
      <c r="N663" s="17">
        <f t="shared" si="10"/>
        <v>45071</v>
      </c>
      <c r="O663" t="str">
        <f>LEFT(Table1[[#This Row],[Department_Region]], FIND("-", Table1[[#This Row],[Department_Region]]) - 1)</f>
        <v>Cloud Tech</v>
      </c>
      <c r="P663" t="str">
        <f>RIGHT(Table1[[#This Row],[Department_Region]],LEN(Table1[[#This Row],[Department_Region]]) - FIND("-",Table1[[#This Row],[Department_Region]]))</f>
        <v>California</v>
      </c>
      <c r="Q6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63" s="15"/>
    </row>
    <row r="664" spans="1:18" x14ac:dyDescent="0.2">
      <c r="A664" s="1">
        <v>662</v>
      </c>
      <c r="B664" s="6" t="s">
        <v>1158</v>
      </c>
      <c r="C664" t="s">
        <v>54</v>
      </c>
      <c r="D664" t="s">
        <v>26</v>
      </c>
      <c r="E664">
        <v>35</v>
      </c>
      <c r="F664" t="s">
        <v>148</v>
      </c>
      <c r="G664" t="s">
        <v>28</v>
      </c>
      <c r="H664" s="6" t="s">
        <v>1159</v>
      </c>
      <c r="I664" s="11">
        <v>84124.56</v>
      </c>
      <c r="J664" t="s">
        <v>122</v>
      </c>
      <c r="K664">
        <v>-3350271606</v>
      </c>
      <c r="L664" t="s">
        <v>23</v>
      </c>
      <c r="M664" t="b">
        <v>0</v>
      </c>
      <c r="N664" s="17">
        <f t="shared" si="10"/>
        <v>44876</v>
      </c>
      <c r="O664" t="str">
        <f>LEFT(Table1[[#This Row],[Department_Region]], FIND("-", Table1[[#This Row],[Department_Region]]) - 1)</f>
        <v>HR</v>
      </c>
      <c r="P664" t="str">
        <f>RIGHT(Table1[[#This Row],[Department_Region]],LEN(Table1[[#This Row],[Department_Region]]) - FIND("-",Table1[[#This Row],[Department_Region]]))</f>
        <v>California</v>
      </c>
      <c r="Q6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64" s="15"/>
    </row>
    <row r="665" spans="1:18" x14ac:dyDescent="0.2">
      <c r="A665" s="1">
        <v>663</v>
      </c>
      <c r="B665" s="6" t="s">
        <v>1160</v>
      </c>
      <c r="C665" t="s">
        <v>13</v>
      </c>
      <c r="D665" t="s">
        <v>93</v>
      </c>
      <c r="E665">
        <v>40</v>
      </c>
      <c r="F665" t="s">
        <v>180</v>
      </c>
      <c r="G665" t="s">
        <v>33</v>
      </c>
      <c r="H665" s="6" t="s">
        <v>1161</v>
      </c>
      <c r="I665" s="11">
        <v>116961.61</v>
      </c>
      <c r="J665" t="s">
        <v>94</v>
      </c>
      <c r="K665">
        <v>-3607763368</v>
      </c>
      <c r="L665" t="s">
        <v>23</v>
      </c>
      <c r="M665" t="b">
        <v>1</v>
      </c>
      <c r="N665" s="17">
        <f t="shared" si="10"/>
        <v>45124</v>
      </c>
      <c r="O665" t="str">
        <f>LEFT(Table1[[#This Row],[Department_Region]], FIND("-", Table1[[#This Row],[Department_Region]]) - 1)</f>
        <v>Sales</v>
      </c>
      <c r="P665" t="str">
        <f>RIGHT(Table1[[#This Row],[Department_Region]],LEN(Table1[[#This Row],[Department_Region]]) - FIND("-",Table1[[#This Row],[Department_Region]]))</f>
        <v>California</v>
      </c>
      <c r="Q6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65" s="15"/>
    </row>
    <row r="666" spans="1:18" x14ac:dyDescent="0.2">
      <c r="A666" s="1">
        <v>664</v>
      </c>
      <c r="B666" s="6" t="s">
        <v>1162</v>
      </c>
      <c r="C666" t="s">
        <v>37</v>
      </c>
      <c r="D666" t="s">
        <v>124</v>
      </c>
      <c r="E666">
        <v>40</v>
      </c>
      <c r="F666" t="s">
        <v>79</v>
      </c>
      <c r="G666" t="s">
        <v>28</v>
      </c>
      <c r="H666" s="6" t="s">
        <v>1708</v>
      </c>
      <c r="I666" s="11">
        <v>109423.05</v>
      </c>
      <c r="J666" t="s">
        <v>139</v>
      </c>
      <c r="K666">
        <v>-1128981230</v>
      </c>
      <c r="L666" t="s">
        <v>18</v>
      </c>
      <c r="M666" t="b">
        <v>0</v>
      </c>
      <c r="N666" s="17">
        <f t="shared" si="10"/>
        <v>44659</v>
      </c>
      <c r="O666" t="str">
        <f>LEFT(Table1[[#This Row],[Department_Region]], FIND("-", Table1[[#This Row],[Department_Region]]) - 1)</f>
        <v>DevOps</v>
      </c>
      <c r="P666" t="str">
        <f>RIGHT(Table1[[#This Row],[Department_Region]],LEN(Table1[[#This Row],[Department_Region]]) - FIND("-",Table1[[#This Row],[Department_Region]]))</f>
        <v>Illinois</v>
      </c>
      <c r="Q6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66" s="15"/>
    </row>
    <row r="667" spans="1:18" x14ac:dyDescent="0.2">
      <c r="A667" s="1">
        <v>665</v>
      </c>
      <c r="B667" s="6" t="s">
        <v>1163</v>
      </c>
      <c r="C667" t="s">
        <v>54</v>
      </c>
      <c r="D667" t="s">
        <v>26</v>
      </c>
      <c r="E667">
        <v>35</v>
      </c>
      <c r="F667" t="s">
        <v>120</v>
      </c>
      <c r="G667" t="s">
        <v>33</v>
      </c>
      <c r="H667" s="6" t="s">
        <v>580</v>
      </c>
      <c r="I667" s="11">
        <v>70394.94</v>
      </c>
      <c r="J667" t="s">
        <v>122</v>
      </c>
      <c r="K667">
        <v>-7955633184</v>
      </c>
      <c r="L667" t="s">
        <v>23</v>
      </c>
      <c r="M667" t="b">
        <v>0</v>
      </c>
      <c r="N667" s="17">
        <f t="shared" si="10"/>
        <v>45168</v>
      </c>
      <c r="O667" t="str">
        <f>LEFT(Table1[[#This Row],[Department_Region]], FIND("-", Table1[[#This Row],[Department_Region]]) - 1)</f>
        <v>Admin</v>
      </c>
      <c r="P667" t="str">
        <f>RIGHT(Table1[[#This Row],[Department_Region]],LEN(Table1[[#This Row],[Department_Region]]) - FIND("-",Table1[[#This Row],[Department_Region]]))</f>
        <v>California</v>
      </c>
      <c r="Q6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67" s="15"/>
    </row>
    <row r="668" spans="1:18" x14ac:dyDescent="0.2">
      <c r="A668" s="1">
        <v>666</v>
      </c>
      <c r="B668" s="6" t="s">
        <v>1164</v>
      </c>
      <c r="C668" t="s">
        <v>69</v>
      </c>
      <c r="D668" t="s">
        <v>93</v>
      </c>
      <c r="E668">
        <v>35</v>
      </c>
      <c r="F668" t="s">
        <v>70</v>
      </c>
      <c r="G668" t="s">
        <v>28</v>
      </c>
      <c r="H668" s="6" t="s">
        <v>1165</v>
      </c>
      <c r="I668" s="11">
        <v>86465.5</v>
      </c>
      <c r="J668" t="s">
        <v>170</v>
      </c>
      <c r="K668">
        <v>-7481700665</v>
      </c>
      <c r="L668" t="s">
        <v>41</v>
      </c>
      <c r="M668" t="b">
        <v>1</v>
      </c>
      <c r="N668" s="17">
        <f t="shared" si="10"/>
        <v>45033</v>
      </c>
      <c r="O668" t="str">
        <f>LEFT(Table1[[#This Row],[Department_Region]], FIND("-", Table1[[#This Row],[Department_Region]]) - 1)</f>
        <v>Finance</v>
      </c>
      <c r="P668" t="str">
        <f>RIGHT(Table1[[#This Row],[Department_Region]],LEN(Table1[[#This Row],[Department_Region]]) - FIND("-",Table1[[#This Row],[Department_Region]]))</f>
        <v>California</v>
      </c>
      <c r="Q6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68" s="15"/>
    </row>
    <row r="669" spans="1:18" x14ac:dyDescent="0.2">
      <c r="A669" s="1">
        <v>667</v>
      </c>
      <c r="B669" s="6" t="s">
        <v>1166</v>
      </c>
      <c r="C669" t="s">
        <v>54</v>
      </c>
      <c r="D669" t="s">
        <v>20</v>
      </c>
      <c r="E669">
        <v>30</v>
      </c>
      <c r="F669" t="s">
        <v>60</v>
      </c>
      <c r="G669" t="s">
        <v>28</v>
      </c>
      <c r="H669" s="6" t="s">
        <v>1167</v>
      </c>
      <c r="I669" s="11">
        <v>96341.58</v>
      </c>
      <c r="J669" t="s">
        <v>127</v>
      </c>
      <c r="K669">
        <v>-1554164315</v>
      </c>
      <c r="L669" t="s">
        <v>23</v>
      </c>
      <c r="M669" t="b">
        <v>0</v>
      </c>
      <c r="N669" s="17">
        <f t="shared" si="10"/>
        <v>44311</v>
      </c>
      <c r="O669" t="str">
        <f>LEFT(Table1[[#This Row],[Department_Region]], FIND("-", Table1[[#This Row],[Department_Region]]) - 1)</f>
        <v>Cloud Tech</v>
      </c>
      <c r="P669" t="str">
        <f>RIGHT(Table1[[#This Row],[Department_Region]],LEN(Table1[[#This Row],[Department_Region]]) - FIND("-",Table1[[#This Row],[Department_Region]]))</f>
        <v>New York</v>
      </c>
      <c r="Q6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69" s="15"/>
    </row>
    <row r="670" spans="1:18" x14ac:dyDescent="0.2">
      <c r="A670" s="1">
        <v>668</v>
      </c>
      <c r="B670" s="6" t="s">
        <v>1168</v>
      </c>
      <c r="C670" t="s">
        <v>13</v>
      </c>
      <c r="D670" t="s">
        <v>26</v>
      </c>
      <c r="E670">
        <v>30</v>
      </c>
      <c r="F670" t="s">
        <v>208</v>
      </c>
      <c r="G670" t="s">
        <v>16</v>
      </c>
      <c r="H670" s="6" t="s">
        <v>1169</v>
      </c>
      <c r="I670" s="11">
        <v>54465.47</v>
      </c>
      <c r="J670" t="s">
        <v>50</v>
      </c>
      <c r="K670">
        <v>-7045023289</v>
      </c>
      <c r="L670" t="s">
        <v>23</v>
      </c>
      <c r="M670" t="b">
        <v>0</v>
      </c>
      <c r="N670" s="17">
        <f t="shared" si="10"/>
        <v>44026</v>
      </c>
      <c r="O670" t="str">
        <f>LEFT(Table1[[#This Row],[Department_Region]], FIND("-", Table1[[#This Row],[Department_Region]]) - 1)</f>
        <v>Admin</v>
      </c>
      <c r="P670" t="str">
        <f>RIGHT(Table1[[#This Row],[Department_Region]],LEN(Table1[[#This Row],[Department_Region]]) - FIND("-",Table1[[#This Row],[Department_Region]]))</f>
        <v>Florida</v>
      </c>
      <c r="Q6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70" s="15"/>
    </row>
    <row r="671" spans="1:18" x14ac:dyDescent="0.2">
      <c r="A671" s="1">
        <v>669</v>
      </c>
      <c r="B671" s="6" t="s">
        <v>1170</v>
      </c>
      <c r="C671" t="s">
        <v>25</v>
      </c>
      <c r="D671" t="s">
        <v>14</v>
      </c>
      <c r="E671">
        <v>25</v>
      </c>
      <c r="F671" t="s">
        <v>269</v>
      </c>
      <c r="G671" t="s">
        <v>16</v>
      </c>
      <c r="H671" s="6" t="s">
        <v>1171</v>
      </c>
      <c r="I671" s="11">
        <v>68371.66</v>
      </c>
      <c r="J671" t="s">
        <v>165</v>
      </c>
      <c r="K671">
        <v>-2822700933</v>
      </c>
      <c r="L671" t="s">
        <v>41</v>
      </c>
      <c r="M671" t="b">
        <v>0</v>
      </c>
      <c r="N671" s="17">
        <f t="shared" si="10"/>
        <v>44043</v>
      </c>
      <c r="O671" t="str">
        <f>LEFT(Table1[[#This Row],[Department_Region]], FIND("-", Table1[[#This Row],[Department_Region]]) - 1)</f>
        <v>Finance</v>
      </c>
      <c r="P671" t="str">
        <f>RIGHT(Table1[[#This Row],[Department_Region]],LEN(Table1[[#This Row],[Department_Region]]) - FIND("-",Table1[[#This Row],[Department_Region]]))</f>
        <v>Illinois</v>
      </c>
      <c r="Q6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71" s="15"/>
    </row>
    <row r="672" spans="1:18" x14ac:dyDescent="0.2">
      <c r="A672" s="1">
        <v>670</v>
      </c>
      <c r="B672" s="6" t="s">
        <v>1172</v>
      </c>
      <c r="C672" t="s">
        <v>69</v>
      </c>
      <c r="D672" t="s">
        <v>124</v>
      </c>
      <c r="E672">
        <v>35</v>
      </c>
      <c r="F672" t="s">
        <v>199</v>
      </c>
      <c r="G672" t="s">
        <v>28</v>
      </c>
      <c r="H672" s="6" t="s">
        <v>1745</v>
      </c>
      <c r="I672" s="11">
        <v>81021.23</v>
      </c>
      <c r="J672" t="s">
        <v>137</v>
      </c>
      <c r="K672">
        <v>-5962622821</v>
      </c>
      <c r="L672" t="s">
        <v>30</v>
      </c>
      <c r="M672" t="b">
        <v>0</v>
      </c>
      <c r="N672" s="17">
        <f t="shared" si="10"/>
        <v>44412</v>
      </c>
      <c r="O672" t="str">
        <f>LEFT(Table1[[#This Row],[Department_Region]], FIND("-", Table1[[#This Row],[Department_Region]]) - 1)</f>
        <v>Admin</v>
      </c>
      <c r="P672" t="str">
        <f>RIGHT(Table1[[#This Row],[Department_Region]],LEN(Table1[[#This Row],[Department_Region]]) - FIND("-",Table1[[#This Row],[Department_Region]]))</f>
        <v>New York</v>
      </c>
      <c r="Q6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72" s="15"/>
    </row>
    <row r="673" spans="1:18" x14ac:dyDescent="0.2">
      <c r="A673" s="1">
        <v>671</v>
      </c>
      <c r="B673" s="6" t="s">
        <v>1173</v>
      </c>
      <c r="C673" t="s">
        <v>54</v>
      </c>
      <c r="D673" t="s">
        <v>93</v>
      </c>
      <c r="E673">
        <v>25</v>
      </c>
      <c r="F673" t="s">
        <v>86</v>
      </c>
      <c r="G673" t="s">
        <v>33</v>
      </c>
      <c r="H673" s="6" t="s">
        <v>1174</v>
      </c>
      <c r="I673" s="11">
        <v>114069.07</v>
      </c>
      <c r="J673" t="s">
        <v>508</v>
      </c>
      <c r="K673">
        <v>-5120734653</v>
      </c>
      <c r="L673" t="s">
        <v>30</v>
      </c>
      <c r="M673" t="b">
        <v>1</v>
      </c>
      <c r="N673" s="17">
        <f t="shared" si="10"/>
        <v>45593</v>
      </c>
      <c r="O673" t="str">
        <f>LEFT(Table1[[#This Row],[Department_Region]], FIND("-", Table1[[#This Row],[Department_Region]]) - 1)</f>
        <v>Cloud Tech</v>
      </c>
      <c r="P673" t="str">
        <f>RIGHT(Table1[[#This Row],[Department_Region]],LEN(Table1[[#This Row],[Department_Region]]) - FIND("-",Table1[[#This Row],[Department_Region]]))</f>
        <v>Nevada</v>
      </c>
      <c r="Q6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73" s="15"/>
    </row>
    <row r="674" spans="1:18" x14ac:dyDescent="0.2">
      <c r="A674" s="1">
        <v>672</v>
      </c>
      <c r="B674" s="6" t="s">
        <v>1175</v>
      </c>
      <c r="C674" t="s">
        <v>65</v>
      </c>
      <c r="D674" t="s">
        <v>93</v>
      </c>
      <c r="E674">
        <v>32</v>
      </c>
      <c r="F674" t="s">
        <v>195</v>
      </c>
      <c r="G674" t="s">
        <v>33</v>
      </c>
      <c r="H674" s="6" t="s">
        <v>1873</v>
      </c>
      <c r="I674" s="11">
        <v>117867.96</v>
      </c>
      <c r="J674" t="s">
        <v>132</v>
      </c>
      <c r="K674">
        <v>-9500507025</v>
      </c>
      <c r="L674" t="s">
        <v>41</v>
      </c>
      <c r="M674" t="b">
        <v>0</v>
      </c>
      <c r="N674" s="17">
        <f t="shared" si="10"/>
        <v>44107</v>
      </c>
      <c r="O674" t="str">
        <f>LEFT(Table1[[#This Row],[Department_Region]], FIND("-", Table1[[#This Row],[Department_Region]]) - 1)</f>
        <v>HR</v>
      </c>
      <c r="P674" t="str">
        <f>RIGHT(Table1[[#This Row],[Department_Region]],LEN(Table1[[#This Row],[Department_Region]]) - FIND("-",Table1[[#This Row],[Department_Region]]))</f>
        <v>Illinois</v>
      </c>
      <c r="Q6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74" s="15"/>
    </row>
    <row r="675" spans="1:18" x14ac:dyDescent="0.2">
      <c r="A675" s="1">
        <v>673</v>
      </c>
      <c r="B675" s="6" t="s">
        <v>1176</v>
      </c>
      <c r="C675" t="s">
        <v>54</v>
      </c>
      <c r="D675" t="s">
        <v>93</v>
      </c>
      <c r="E675">
        <v>32</v>
      </c>
      <c r="F675" t="s">
        <v>75</v>
      </c>
      <c r="G675" t="s">
        <v>28</v>
      </c>
      <c r="H675" s="6" t="s">
        <v>1130</v>
      </c>
      <c r="I675" s="11">
        <v>94509.58</v>
      </c>
      <c r="J675" t="s">
        <v>508</v>
      </c>
      <c r="K675">
        <v>-869822104</v>
      </c>
      <c r="L675" t="s">
        <v>18</v>
      </c>
      <c r="M675" t="b">
        <v>0</v>
      </c>
      <c r="N675" s="17">
        <f t="shared" si="10"/>
        <v>45364</v>
      </c>
      <c r="O675" t="str">
        <f>LEFT(Table1[[#This Row],[Department_Region]], FIND("-", Table1[[#This Row],[Department_Region]]) - 1)</f>
        <v>Sales</v>
      </c>
      <c r="P675" t="str">
        <f>RIGHT(Table1[[#This Row],[Department_Region]],LEN(Table1[[#This Row],[Department_Region]]) - FIND("-",Table1[[#This Row],[Department_Region]]))</f>
        <v>Florida</v>
      </c>
      <c r="Q6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75" s="15"/>
    </row>
    <row r="676" spans="1:18" x14ac:dyDescent="0.2">
      <c r="A676" s="1">
        <v>674</v>
      </c>
      <c r="B676" s="6" t="s">
        <v>1177</v>
      </c>
      <c r="C676" t="s">
        <v>32</v>
      </c>
      <c r="D676" t="s">
        <v>20</v>
      </c>
      <c r="E676">
        <v>35</v>
      </c>
      <c r="F676" t="s">
        <v>269</v>
      </c>
      <c r="G676" t="s">
        <v>16</v>
      </c>
      <c r="H676" s="6" t="s">
        <v>1679</v>
      </c>
      <c r="I676" s="11">
        <v>56268.78</v>
      </c>
      <c r="J676" t="s">
        <v>157</v>
      </c>
      <c r="K676">
        <v>-3161177686</v>
      </c>
      <c r="L676" t="s">
        <v>23</v>
      </c>
      <c r="M676" t="b">
        <v>0</v>
      </c>
      <c r="N676" s="17">
        <f t="shared" si="10"/>
        <v>45479</v>
      </c>
      <c r="O676" t="str">
        <f>LEFT(Table1[[#This Row],[Department_Region]], FIND("-", Table1[[#This Row],[Department_Region]]) - 1)</f>
        <v>Finance</v>
      </c>
      <c r="P676" t="str">
        <f>RIGHT(Table1[[#This Row],[Department_Region]],LEN(Table1[[#This Row],[Department_Region]]) - FIND("-",Table1[[#This Row],[Department_Region]]))</f>
        <v>Illinois</v>
      </c>
      <c r="Q6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76" s="15"/>
    </row>
    <row r="677" spans="1:18" x14ac:dyDescent="0.2">
      <c r="A677" s="1">
        <v>675</v>
      </c>
      <c r="B677" s="6" t="s">
        <v>1178</v>
      </c>
      <c r="C677" t="s">
        <v>69</v>
      </c>
      <c r="D677" t="s">
        <v>26</v>
      </c>
      <c r="E677">
        <v>35</v>
      </c>
      <c r="F677" t="s">
        <v>120</v>
      </c>
      <c r="G677" t="s">
        <v>16</v>
      </c>
      <c r="H677" s="6" t="s">
        <v>1874</v>
      </c>
      <c r="I677" s="11">
        <v>86632.14</v>
      </c>
      <c r="J677" t="s">
        <v>77</v>
      </c>
      <c r="K677">
        <v>-2904774257</v>
      </c>
      <c r="L677" t="s">
        <v>41</v>
      </c>
      <c r="M677" t="b">
        <v>1</v>
      </c>
      <c r="N677" s="17">
        <f t="shared" si="10"/>
        <v>43831</v>
      </c>
      <c r="O677" t="str">
        <f>LEFT(Table1[[#This Row],[Department_Region]], FIND("-", Table1[[#This Row],[Department_Region]]) - 1)</f>
        <v>Admin</v>
      </c>
      <c r="P677" t="str">
        <f>RIGHT(Table1[[#This Row],[Department_Region]],LEN(Table1[[#This Row],[Department_Region]]) - FIND("-",Table1[[#This Row],[Department_Region]]))</f>
        <v>California</v>
      </c>
      <c r="Q6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77" s="15"/>
    </row>
    <row r="678" spans="1:18" x14ac:dyDescent="0.2">
      <c r="A678" s="1">
        <v>676</v>
      </c>
      <c r="B678" s="6" t="s">
        <v>1179</v>
      </c>
      <c r="C678" t="s">
        <v>54</v>
      </c>
      <c r="D678" t="s">
        <v>20</v>
      </c>
      <c r="E678">
        <v>35</v>
      </c>
      <c r="F678" t="s">
        <v>215</v>
      </c>
      <c r="G678" t="s">
        <v>28</v>
      </c>
      <c r="H678" s="6" t="s">
        <v>762</v>
      </c>
      <c r="I678" s="11">
        <v>98143.9</v>
      </c>
      <c r="J678" t="s">
        <v>127</v>
      </c>
      <c r="K678">
        <v>-5917793237</v>
      </c>
      <c r="L678" t="s">
        <v>23</v>
      </c>
      <c r="M678" t="b">
        <v>0</v>
      </c>
      <c r="N678" s="17">
        <f t="shared" si="10"/>
        <v>43848</v>
      </c>
      <c r="O678" t="str">
        <f>LEFT(Table1[[#This Row],[Department_Region]], FIND("-", Table1[[#This Row],[Department_Region]]) - 1)</f>
        <v>HR</v>
      </c>
      <c r="P678" t="str">
        <f>RIGHT(Table1[[#This Row],[Department_Region]],LEN(Table1[[#This Row],[Department_Region]]) - FIND("-",Table1[[#This Row],[Department_Region]]))</f>
        <v>Florida</v>
      </c>
      <c r="Q6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78" s="15"/>
    </row>
    <row r="679" spans="1:18" x14ac:dyDescent="0.2">
      <c r="A679" s="1">
        <v>677</v>
      </c>
      <c r="B679" s="6" t="s">
        <v>1180</v>
      </c>
      <c r="C679" t="s">
        <v>65</v>
      </c>
      <c r="D679" t="s">
        <v>43</v>
      </c>
      <c r="E679">
        <v>35</v>
      </c>
      <c r="F679" t="s">
        <v>39</v>
      </c>
      <c r="G679" t="s">
        <v>33</v>
      </c>
      <c r="H679" s="6" t="s">
        <v>1806</v>
      </c>
      <c r="I679" s="11">
        <v>85165.05</v>
      </c>
      <c r="J679" t="s">
        <v>261</v>
      </c>
      <c r="K679">
        <v>-2231164912</v>
      </c>
      <c r="L679" t="s">
        <v>18</v>
      </c>
      <c r="M679" t="b">
        <v>1</v>
      </c>
      <c r="N679" s="17">
        <f t="shared" si="10"/>
        <v>45053</v>
      </c>
      <c r="O679" t="str">
        <f>LEFT(Table1[[#This Row],[Department_Region]], FIND("-", Table1[[#This Row],[Department_Region]]) - 1)</f>
        <v>Cloud Tech</v>
      </c>
      <c r="P679" t="str">
        <f>RIGHT(Table1[[#This Row],[Department_Region]],LEN(Table1[[#This Row],[Department_Region]]) - FIND("-",Table1[[#This Row],[Department_Region]]))</f>
        <v>Florida</v>
      </c>
      <c r="Q6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79" s="15"/>
    </row>
    <row r="680" spans="1:18" x14ac:dyDescent="0.2">
      <c r="A680" s="1">
        <v>678</v>
      </c>
      <c r="B680" s="6" t="s">
        <v>1181</v>
      </c>
      <c r="C680" t="s">
        <v>37</v>
      </c>
      <c r="D680" t="s">
        <v>55</v>
      </c>
      <c r="E680">
        <v>30</v>
      </c>
      <c r="F680" t="s">
        <v>269</v>
      </c>
      <c r="G680" t="s">
        <v>33</v>
      </c>
      <c r="H680" s="6" t="s">
        <v>1182</v>
      </c>
      <c r="I680" s="11">
        <v>67492.73</v>
      </c>
      <c r="J680" t="s">
        <v>275</v>
      </c>
      <c r="K680">
        <v>-3424579888</v>
      </c>
      <c r="L680" t="s">
        <v>23</v>
      </c>
      <c r="M680" t="b">
        <v>1</v>
      </c>
      <c r="N680" s="17">
        <f t="shared" si="10"/>
        <v>44639</v>
      </c>
      <c r="O680" t="str">
        <f>LEFT(Table1[[#This Row],[Department_Region]], FIND("-", Table1[[#This Row],[Department_Region]]) - 1)</f>
        <v>Finance</v>
      </c>
      <c r="P680" t="str">
        <f>RIGHT(Table1[[#This Row],[Department_Region]],LEN(Table1[[#This Row],[Department_Region]]) - FIND("-",Table1[[#This Row],[Department_Region]]))</f>
        <v>Illinois</v>
      </c>
      <c r="Q6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80" s="15"/>
    </row>
    <row r="681" spans="1:18" x14ac:dyDescent="0.2">
      <c r="A681" s="1">
        <v>679</v>
      </c>
      <c r="B681" s="6" t="s">
        <v>1183</v>
      </c>
      <c r="C681" t="s">
        <v>69</v>
      </c>
      <c r="D681" t="s">
        <v>55</v>
      </c>
      <c r="E681">
        <v>40</v>
      </c>
      <c r="F681" t="s">
        <v>120</v>
      </c>
      <c r="G681" t="s">
        <v>16</v>
      </c>
      <c r="H681" s="6" t="s">
        <v>1184</v>
      </c>
      <c r="I681" s="11">
        <v>93772.61</v>
      </c>
      <c r="J681" t="s">
        <v>129</v>
      </c>
      <c r="K681">
        <v>-4256529059</v>
      </c>
      <c r="L681" t="s">
        <v>41</v>
      </c>
      <c r="M681" t="b">
        <v>0</v>
      </c>
      <c r="N681" s="17">
        <f t="shared" si="10"/>
        <v>44695</v>
      </c>
      <c r="O681" t="str">
        <f>LEFT(Table1[[#This Row],[Department_Region]], FIND("-", Table1[[#This Row],[Department_Region]]) - 1)</f>
        <v>Admin</v>
      </c>
      <c r="P681" t="str">
        <f>RIGHT(Table1[[#This Row],[Department_Region]],LEN(Table1[[#This Row],[Department_Region]]) - FIND("-",Table1[[#This Row],[Department_Region]]))</f>
        <v>California</v>
      </c>
      <c r="Q6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81" s="15"/>
    </row>
    <row r="682" spans="1:18" x14ac:dyDescent="0.2">
      <c r="A682" s="1">
        <v>680</v>
      </c>
      <c r="B682" s="6" t="s">
        <v>1185</v>
      </c>
      <c r="C682" t="s">
        <v>32</v>
      </c>
      <c r="D682" t="s">
        <v>43</v>
      </c>
      <c r="E682">
        <v>35</v>
      </c>
      <c r="F682" t="s">
        <v>333</v>
      </c>
      <c r="G682" t="s">
        <v>28</v>
      </c>
      <c r="H682" s="6" t="s">
        <v>1186</v>
      </c>
      <c r="I682" s="11">
        <v>68817.539999999994</v>
      </c>
      <c r="J682" t="s">
        <v>301</v>
      </c>
      <c r="K682">
        <v>-3202032649</v>
      </c>
      <c r="L682" t="s">
        <v>23</v>
      </c>
      <c r="M682" t="b">
        <v>0</v>
      </c>
      <c r="N682" s="17">
        <f t="shared" si="10"/>
        <v>45487</v>
      </c>
      <c r="O682" t="str">
        <f>LEFT(Table1[[#This Row],[Department_Region]], FIND("-", Table1[[#This Row],[Department_Region]]) - 1)</f>
        <v>DevOps</v>
      </c>
      <c r="P682" t="str">
        <f>RIGHT(Table1[[#This Row],[Department_Region]],LEN(Table1[[#This Row],[Department_Region]]) - FIND("-",Table1[[#This Row],[Department_Region]]))</f>
        <v>Nevada</v>
      </c>
      <c r="Q6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82" s="15"/>
    </row>
    <row r="683" spans="1:18" x14ac:dyDescent="0.2">
      <c r="A683" s="1">
        <v>681</v>
      </c>
      <c r="B683" s="6" t="s">
        <v>1187</v>
      </c>
      <c r="C683" t="s">
        <v>13</v>
      </c>
      <c r="D683" t="s">
        <v>26</v>
      </c>
      <c r="E683">
        <v>30</v>
      </c>
      <c r="F683" t="s">
        <v>120</v>
      </c>
      <c r="G683" t="s">
        <v>16</v>
      </c>
      <c r="H683" s="6" t="s">
        <v>1188</v>
      </c>
      <c r="I683" s="11">
        <v>81874.009999999995</v>
      </c>
      <c r="J683" t="s">
        <v>50</v>
      </c>
      <c r="K683">
        <v>-9775396736</v>
      </c>
      <c r="L683" t="s">
        <v>30</v>
      </c>
      <c r="M683" t="b">
        <v>1</v>
      </c>
      <c r="N683" s="17">
        <f t="shared" si="10"/>
        <v>45135</v>
      </c>
      <c r="O683" t="str">
        <f>LEFT(Table1[[#This Row],[Department_Region]], FIND("-", Table1[[#This Row],[Department_Region]]) - 1)</f>
        <v>Admin</v>
      </c>
      <c r="P683" t="str">
        <f>RIGHT(Table1[[#This Row],[Department_Region]],LEN(Table1[[#This Row],[Department_Region]]) - FIND("-",Table1[[#This Row],[Department_Region]]))</f>
        <v>California</v>
      </c>
      <c r="Q6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83" s="15"/>
    </row>
    <row r="684" spans="1:18" x14ac:dyDescent="0.2">
      <c r="A684" s="1">
        <v>682</v>
      </c>
      <c r="B684" s="6" t="s">
        <v>1189</v>
      </c>
      <c r="C684" t="s">
        <v>65</v>
      </c>
      <c r="D684" t="s">
        <v>14</v>
      </c>
      <c r="E684">
        <v>30</v>
      </c>
      <c r="F684" t="s">
        <v>141</v>
      </c>
      <c r="G684" t="s">
        <v>16</v>
      </c>
      <c r="H684" s="6" t="s">
        <v>1875</v>
      </c>
      <c r="I684" s="11">
        <v>117880.14</v>
      </c>
      <c r="J684" t="s">
        <v>400</v>
      </c>
      <c r="K684">
        <v>-9487148551</v>
      </c>
      <c r="L684" t="s">
        <v>18</v>
      </c>
      <c r="M684" t="b">
        <v>0</v>
      </c>
      <c r="N684" s="17">
        <f t="shared" si="10"/>
        <v>43932</v>
      </c>
      <c r="O684" t="str">
        <f>LEFT(Table1[[#This Row],[Department_Region]], FIND("-", Table1[[#This Row],[Department_Region]]) - 1)</f>
        <v>HR</v>
      </c>
      <c r="P684" t="str">
        <f>RIGHT(Table1[[#This Row],[Department_Region]],LEN(Table1[[#This Row],[Department_Region]]) - FIND("-",Table1[[#This Row],[Department_Region]]))</f>
        <v>Texas</v>
      </c>
      <c r="Q6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84" s="15"/>
    </row>
    <row r="685" spans="1:18" x14ac:dyDescent="0.2">
      <c r="A685" s="1">
        <v>683</v>
      </c>
      <c r="B685" s="6" t="s">
        <v>1190</v>
      </c>
      <c r="C685" t="s">
        <v>13</v>
      </c>
      <c r="D685" t="s">
        <v>20</v>
      </c>
      <c r="E685">
        <v>35</v>
      </c>
      <c r="F685" t="s">
        <v>66</v>
      </c>
      <c r="G685" t="s">
        <v>28</v>
      </c>
      <c r="H685" s="6" t="s">
        <v>149</v>
      </c>
      <c r="I685" s="11">
        <v>100897.49</v>
      </c>
      <c r="J685" t="s">
        <v>22</v>
      </c>
      <c r="K685">
        <v>-4578715840</v>
      </c>
      <c r="L685" t="s">
        <v>18</v>
      </c>
      <c r="M685" t="b">
        <v>1</v>
      </c>
      <c r="N685" s="17">
        <f t="shared" si="10"/>
        <v>44728</v>
      </c>
      <c r="O685" t="str">
        <f>LEFT(Table1[[#This Row],[Department_Region]], FIND("-", Table1[[#This Row],[Department_Region]]) - 1)</f>
        <v>HR</v>
      </c>
      <c r="P685" t="str">
        <f>RIGHT(Table1[[#This Row],[Department_Region]],LEN(Table1[[#This Row],[Department_Region]]) - FIND("-",Table1[[#This Row],[Department_Region]]))</f>
        <v>New York</v>
      </c>
      <c r="Q6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85" s="15"/>
    </row>
    <row r="686" spans="1:18" x14ac:dyDescent="0.2">
      <c r="A686" s="1">
        <v>684</v>
      </c>
      <c r="B686" s="6" t="s">
        <v>1191</v>
      </c>
      <c r="C686" t="s">
        <v>54</v>
      </c>
      <c r="D686" t="s">
        <v>124</v>
      </c>
      <c r="E686">
        <v>25</v>
      </c>
      <c r="F686" t="s">
        <v>230</v>
      </c>
      <c r="G686" t="s">
        <v>33</v>
      </c>
      <c r="H686" s="6" t="s">
        <v>1876</v>
      </c>
      <c r="I686" s="11">
        <v>71810.37</v>
      </c>
      <c r="J686" t="s">
        <v>197</v>
      </c>
      <c r="K686">
        <v>-5608213710</v>
      </c>
      <c r="L686" t="s">
        <v>18</v>
      </c>
      <c r="M686" t="b">
        <v>1</v>
      </c>
      <c r="N686" s="17">
        <f t="shared" si="10"/>
        <v>44691</v>
      </c>
      <c r="O686" t="str">
        <f>LEFT(Table1[[#This Row],[Department_Region]], FIND("-", Table1[[#This Row],[Department_Region]]) - 1)</f>
        <v>Finance</v>
      </c>
      <c r="P686" t="str">
        <f>RIGHT(Table1[[#This Row],[Department_Region]],LEN(Table1[[#This Row],[Department_Region]]) - FIND("-",Table1[[#This Row],[Department_Region]]))</f>
        <v>New York</v>
      </c>
      <c r="Q6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86" s="15"/>
    </row>
    <row r="687" spans="1:18" x14ac:dyDescent="0.2">
      <c r="A687" s="1">
        <v>685</v>
      </c>
      <c r="B687" s="6" t="s">
        <v>1192</v>
      </c>
      <c r="C687" t="s">
        <v>37</v>
      </c>
      <c r="D687" t="s">
        <v>93</v>
      </c>
      <c r="E687">
        <v>40</v>
      </c>
      <c r="F687" t="s">
        <v>241</v>
      </c>
      <c r="G687" t="s">
        <v>33</v>
      </c>
      <c r="H687" s="6" t="s">
        <v>1193</v>
      </c>
      <c r="I687" s="11">
        <v>109048.24</v>
      </c>
      <c r="J687" t="s">
        <v>111</v>
      </c>
      <c r="K687">
        <v>-8425476817</v>
      </c>
      <c r="L687" t="s">
        <v>41</v>
      </c>
      <c r="M687" t="b">
        <v>0</v>
      </c>
      <c r="N687" s="17">
        <f t="shared" si="10"/>
        <v>43995</v>
      </c>
      <c r="O687" t="str">
        <f>LEFT(Table1[[#This Row],[Department_Region]], FIND("-", Table1[[#This Row],[Department_Region]]) - 1)</f>
        <v>DevOps</v>
      </c>
      <c r="P687" t="str">
        <f>RIGHT(Table1[[#This Row],[Department_Region]],LEN(Table1[[#This Row],[Department_Region]]) - FIND("-",Table1[[#This Row],[Department_Region]]))</f>
        <v>Texas</v>
      </c>
      <c r="Q6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87" s="15"/>
    </row>
    <row r="688" spans="1:18" x14ac:dyDescent="0.2">
      <c r="A688" s="1">
        <v>686</v>
      </c>
      <c r="B688" s="6" t="s">
        <v>1194</v>
      </c>
      <c r="C688" t="s">
        <v>25</v>
      </c>
      <c r="D688" t="s">
        <v>93</v>
      </c>
      <c r="E688">
        <v>35</v>
      </c>
      <c r="F688" t="s">
        <v>21</v>
      </c>
      <c r="G688" t="s">
        <v>28</v>
      </c>
      <c r="H688" s="6" t="s">
        <v>1195</v>
      </c>
      <c r="I688" s="11">
        <v>62712.26</v>
      </c>
      <c r="J688" t="s">
        <v>168</v>
      </c>
      <c r="K688">
        <v>-2683230357</v>
      </c>
      <c r="L688" t="s">
        <v>18</v>
      </c>
      <c r="M688" t="b">
        <v>0</v>
      </c>
      <c r="N688" s="17">
        <f t="shared" si="10"/>
        <v>44793</v>
      </c>
      <c r="O688" t="str">
        <f>LEFT(Table1[[#This Row],[Department_Region]], FIND("-", Table1[[#This Row],[Department_Region]]) - 1)</f>
        <v>Finance</v>
      </c>
      <c r="P688" t="str">
        <f>RIGHT(Table1[[#This Row],[Department_Region]],LEN(Table1[[#This Row],[Department_Region]]) - FIND("-",Table1[[#This Row],[Department_Region]]))</f>
        <v>Texas</v>
      </c>
      <c r="Q6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88" s="15"/>
    </row>
    <row r="689" spans="1:18" x14ac:dyDescent="0.2">
      <c r="A689" s="1">
        <v>687</v>
      </c>
      <c r="B689" s="6" t="s">
        <v>1196</v>
      </c>
      <c r="C689" t="s">
        <v>32</v>
      </c>
      <c r="D689" t="s">
        <v>26</v>
      </c>
      <c r="E689">
        <v>40</v>
      </c>
      <c r="F689" t="s">
        <v>161</v>
      </c>
      <c r="G689" t="s">
        <v>28</v>
      </c>
      <c r="H689" s="6" t="s">
        <v>118</v>
      </c>
      <c r="I689" s="11">
        <v>76935.850000000006</v>
      </c>
      <c r="J689" t="s">
        <v>281</v>
      </c>
      <c r="K689">
        <v>-9298808582</v>
      </c>
      <c r="L689" t="s">
        <v>30</v>
      </c>
      <c r="M689" t="b">
        <v>1</v>
      </c>
      <c r="N689" s="17">
        <f t="shared" si="10"/>
        <v>44340</v>
      </c>
      <c r="O689" t="str">
        <f>LEFT(Table1[[#This Row],[Department_Region]], FIND("-", Table1[[#This Row],[Department_Region]]) - 1)</f>
        <v>Cloud Tech</v>
      </c>
      <c r="P689" t="str">
        <f>RIGHT(Table1[[#This Row],[Department_Region]],LEN(Table1[[#This Row],[Department_Region]]) - FIND("-",Table1[[#This Row],[Department_Region]]))</f>
        <v>Texas</v>
      </c>
      <c r="Q6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89" s="15"/>
    </row>
    <row r="690" spans="1:18" x14ac:dyDescent="0.2">
      <c r="A690" s="1">
        <v>688</v>
      </c>
      <c r="B690" s="6" t="s">
        <v>1197</v>
      </c>
      <c r="C690" t="s">
        <v>59</v>
      </c>
      <c r="D690" t="s">
        <v>14</v>
      </c>
      <c r="E690">
        <v>25</v>
      </c>
      <c r="F690" t="s">
        <v>208</v>
      </c>
      <c r="G690" t="s">
        <v>28</v>
      </c>
      <c r="H690" s="6" t="s">
        <v>1198</v>
      </c>
      <c r="I690" s="11">
        <v>56577.22</v>
      </c>
      <c r="J690" t="s">
        <v>63</v>
      </c>
      <c r="K690">
        <v>-8252129327</v>
      </c>
      <c r="L690" t="s">
        <v>41</v>
      </c>
      <c r="M690" t="b">
        <v>1</v>
      </c>
      <c r="N690" s="17">
        <f t="shared" si="10"/>
        <v>45409</v>
      </c>
      <c r="O690" t="str">
        <f>LEFT(Table1[[#This Row],[Department_Region]], FIND("-", Table1[[#This Row],[Department_Region]]) - 1)</f>
        <v>Admin</v>
      </c>
      <c r="P690" t="str">
        <f>RIGHT(Table1[[#This Row],[Department_Region]],LEN(Table1[[#This Row],[Department_Region]]) - FIND("-",Table1[[#This Row],[Department_Region]]))</f>
        <v>Florida</v>
      </c>
      <c r="Q6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90" s="15"/>
    </row>
    <row r="691" spans="1:18" x14ac:dyDescent="0.2">
      <c r="A691" s="1">
        <v>689</v>
      </c>
      <c r="B691" s="6" t="s">
        <v>1199</v>
      </c>
      <c r="C691" t="s">
        <v>59</v>
      </c>
      <c r="D691" t="s">
        <v>55</v>
      </c>
      <c r="E691">
        <v>40</v>
      </c>
      <c r="F691" t="s">
        <v>101</v>
      </c>
      <c r="G691" t="s">
        <v>33</v>
      </c>
      <c r="H691" s="6" t="s">
        <v>1200</v>
      </c>
      <c r="I691" s="11">
        <v>61102.8</v>
      </c>
      <c r="J691" t="s">
        <v>220</v>
      </c>
      <c r="K691">
        <v>-9634064685</v>
      </c>
      <c r="L691" t="s">
        <v>30</v>
      </c>
      <c r="M691" t="b">
        <v>1</v>
      </c>
      <c r="N691" s="17">
        <f t="shared" si="10"/>
        <v>44492</v>
      </c>
      <c r="O691" t="str">
        <f>LEFT(Table1[[#This Row],[Department_Region]], FIND("-", Table1[[#This Row],[Department_Region]]) - 1)</f>
        <v>Finance</v>
      </c>
      <c r="P691" t="str">
        <f>RIGHT(Table1[[#This Row],[Department_Region]],LEN(Table1[[#This Row],[Department_Region]]) - FIND("-",Table1[[#This Row],[Department_Region]]))</f>
        <v>Nevada</v>
      </c>
      <c r="Q6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91" s="15"/>
    </row>
    <row r="692" spans="1:18" x14ac:dyDescent="0.2">
      <c r="A692" s="1">
        <v>690</v>
      </c>
      <c r="B692" s="6" t="s">
        <v>1201</v>
      </c>
      <c r="C692" t="s">
        <v>13</v>
      </c>
      <c r="D692" t="s">
        <v>55</v>
      </c>
      <c r="E692">
        <v>35</v>
      </c>
      <c r="F692" t="s">
        <v>101</v>
      </c>
      <c r="G692" t="s">
        <v>33</v>
      </c>
      <c r="H692" s="6" t="s">
        <v>1877</v>
      </c>
      <c r="I692" s="11">
        <v>75229.87</v>
      </c>
      <c r="J692" t="s">
        <v>202</v>
      </c>
      <c r="K692">
        <v>-7752401483</v>
      </c>
      <c r="L692" t="s">
        <v>23</v>
      </c>
      <c r="M692" t="b">
        <v>1</v>
      </c>
      <c r="N692" s="17">
        <f t="shared" si="10"/>
        <v>44237</v>
      </c>
      <c r="O692" t="str">
        <f>LEFT(Table1[[#This Row],[Department_Region]], FIND("-", Table1[[#This Row],[Department_Region]]) - 1)</f>
        <v>Finance</v>
      </c>
      <c r="P692" t="str">
        <f>RIGHT(Table1[[#This Row],[Department_Region]],LEN(Table1[[#This Row],[Department_Region]]) - FIND("-",Table1[[#This Row],[Department_Region]]))</f>
        <v>Nevada</v>
      </c>
      <c r="Q6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92" s="15"/>
    </row>
    <row r="693" spans="1:18" x14ac:dyDescent="0.2">
      <c r="A693" s="1">
        <v>691</v>
      </c>
      <c r="B693" s="6" t="s">
        <v>1202</v>
      </c>
      <c r="C693" t="s">
        <v>59</v>
      </c>
      <c r="D693" t="s">
        <v>93</v>
      </c>
      <c r="E693">
        <v>25</v>
      </c>
      <c r="F693" t="s">
        <v>27</v>
      </c>
      <c r="G693" t="s">
        <v>33</v>
      </c>
      <c r="H693" s="6" t="s">
        <v>1203</v>
      </c>
      <c r="I693" s="11">
        <v>51054.74</v>
      </c>
      <c r="J693" t="s">
        <v>108</v>
      </c>
      <c r="K693">
        <v>-3991062271</v>
      </c>
      <c r="L693" t="s">
        <v>23</v>
      </c>
      <c r="M693" t="b">
        <v>0</v>
      </c>
      <c r="N693" s="17">
        <f t="shared" si="10"/>
        <v>44495</v>
      </c>
      <c r="O693" t="str">
        <f>LEFT(Table1[[#This Row],[Department_Region]], FIND("-", Table1[[#This Row],[Department_Region]]) - 1)</f>
        <v>Admin</v>
      </c>
      <c r="P693" t="str">
        <f>RIGHT(Table1[[#This Row],[Department_Region]],LEN(Table1[[#This Row],[Department_Region]]) - FIND("-",Table1[[#This Row],[Department_Region]]))</f>
        <v>Nevada</v>
      </c>
      <c r="Q6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93" s="15"/>
    </row>
    <row r="694" spans="1:18" x14ac:dyDescent="0.2">
      <c r="A694" s="1">
        <v>692</v>
      </c>
      <c r="B694" s="6" t="s">
        <v>1204</v>
      </c>
      <c r="C694" t="s">
        <v>13</v>
      </c>
      <c r="D694" t="s">
        <v>26</v>
      </c>
      <c r="E694">
        <v>40</v>
      </c>
      <c r="F694" t="s">
        <v>104</v>
      </c>
      <c r="G694" t="s">
        <v>16</v>
      </c>
      <c r="H694" s="6" t="s">
        <v>1878</v>
      </c>
      <c r="I694" s="11">
        <v>104843.27</v>
      </c>
      <c r="J694" t="s">
        <v>50</v>
      </c>
      <c r="K694">
        <v>-3626693350</v>
      </c>
      <c r="L694" t="s">
        <v>23</v>
      </c>
      <c r="M694" t="b">
        <v>0</v>
      </c>
      <c r="N694" s="17">
        <f t="shared" si="10"/>
        <v>45021</v>
      </c>
      <c r="O694" t="str">
        <f>LEFT(Table1[[#This Row],[Department_Region]], FIND("-", Table1[[#This Row],[Department_Region]]) - 1)</f>
        <v>Admin</v>
      </c>
      <c r="P694" t="str">
        <f>RIGHT(Table1[[#This Row],[Department_Region]],LEN(Table1[[#This Row],[Department_Region]]) - FIND("-",Table1[[#This Row],[Department_Region]]))</f>
        <v>Texas</v>
      </c>
      <c r="Q6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94" s="15"/>
    </row>
    <row r="695" spans="1:18" x14ac:dyDescent="0.2">
      <c r="A695" s="1">
        <v>693</v>
      </c>
      <c r="B695" s="6" t="s">
        <v>1205</v>
      </c>
      <c r="C695" t="s">
        <v>54</v>
      </c>
      <c r="D695" t="s">
        <v>20</v>
      </c>
      <c r="E695">
        <v>35</v>
      </c>
      <c r="F695" t="s">
        <v>60</v>
      </c>
      <c r="G695" t="s">
        <v>16</v>
      </c>
      <c r="H695" s="6" t="s">
        <v>1206</v>
      </c>
      <c r="I695" s="11">
        <v>56398.11</v>
      </c>
      <c r="J695" t="s">
        <v>127</v>
      </c>
      <c r="K695">
        <v>-3426192371</v>
      </c>
      <c r="L695" t="s">
        <v>23</v>
      </c>
      <c r="M695" t="b">
        <v>0</v>
      </c>
      <c r="N695" s="17">
        <f t="shared" si="10"/>
        <v>44854</v>
      </c>
      <c r="O695" t="str">
        <f>LEFT(Table1[[#This Row],[Department_Region]], FIND("-", Table1[[#This Row],[Department_Region]]) - 1)</f>
        <v>Cloud Tech</v>
      </c>
      <c r="P695" t="str">
        <f>RIGHT(Table1[[#This Row],[Department_Region]],LEN(Table1[[#This Row],[Department_Region]]) - FIND("-",Table1[[#This Row],[Department_Region]]))</f>
        <v>New York</v>
      </c>
      <c r="Q6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95" s="15"/>
    </row>
    <row r="696" spans="1:18" x14ac:dyDescent="0.2">
      <c r="A696" s="1">
        <v>694</v>
      </c>
      <c r="B696" s="6" t="s">
        <v>1207</v>
      </c>
      <c r="C696" t="s">
        <v>25</v>
      </c>
      <c r="D696" t="s">
        <v>55</v>
      </c>
      <c r="E696">
        <v>25</v>
      </c>
      <c r="F696" t="s">
        <v>151</v>
      </c>
      <c r="G696" t="s">
        <v>16</v>
      </c>
      <c r="H696" s="6" t="s">
        <v>1673</v>
      </c>
      <c r="I696" s="11">
        <v>87544.73</v>
      </c>
      <c r="J696" t="s">
        <v>152</v>
      </c>
      <c r="K696">
        <v>-4501848196</v>
      </c>
      <c r="L696" t="s">
        <v>30</v>
      </c>
      <c r="M696" t="b">
        <v>0</v>
      </c>
      <c r="N696" s="17">
        <f t="shared" si="10"/>
        <v>45267</v>
      </c>
      <c r="O696" t="str">
        <f>LEFT(Table1[[#This Row],[Department_Region]], FIND("-", Table1[[#This Row],[Department_Region]]) - 1)</f>
        <v>HR</v>
      </c>
      <c r="P696" t="str">
        <f>RIGHT(Table1[[#This Row],[Department_Region]],LEN(Table1[[#This Row],[Department_Region]]) - FIND("-",Table1[[#This Row],[Department_Region]]))</f>
        <v>Nevada</v>
      </c>
      <c r="Q6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696" s="15"/>
    </row>
    <row r="697" spans="1:18" x14ac:dyDescent="0.2">
      <c r="A697" s="1">
        <v>695</v>
      </c>
      <c r="B697" s="6" t="s">
        <v>1208</v>
      </c>
      <c r="C697" t="s">
        <v>65</v>
      </c>
      <c r="D697" t="s">
        <v>20</v>
      </c>
      <c r="E697">
        <v>30</v>
      </c>
      <c r="F697" t="s">
        <v>195</v>
      </c>
      <c r="G697" t="s">
        <v>28</v>
      </c>
      <c r="H697" s="6" t="s">
        <v>316</v>
      </c>
      <c r="I697" s="11">
        <v>74312.240000000005</v>
      </c>
      <c r="J697" t="s">
        <v>410</v>
      </c>
      <c r="K697">
        <v>-3741897214</v>
      </c>
      <c r="L697" t="s">
        <v>41</v>
      </c>
      <c r="M697" t="b">
        <v>0</v>
      </c>
      <c r="N697" s="17">
        <f t="shared" si="10"/>
        <v>45380</v>
      </c>
      <c r="O697" t="str">
        <f>LEFT(Table1[[#This Row],[Department_Region]], FIND("-", Table1[[#This Row],[Department_Region]]) - 1)</f>
        <v>HR</v>
      </c>
      <c r="P697" t="str">
        <f>RIGHT(Table1[[#This Row],[Department_Region]],LEN(Table1[[#This Row],[Department_Region]]) - FIND("-",Table1[[#This Row],[Department_Region]]))</f>
        <v>Illinois</v>
      </c>
      <c r="Q6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97" s="15"/>
    </row>
    <row r="698" spans="1:18" x14ac:dyDescent="0.2">
      <c r="A698" s="1">
        <v>696</v>
      </c>
      <c r="B698" s="6" t="s">
        <v>1209</v>
      </c>
      <c r="C698" t="s">
        <v>59</v>
      </c>
      <c r="D698" t="s">
        <v>14</v>
      </c>
      <c r="E698">
        <v>25</v>
      </c>
      <c r="F698" t="s">
        <v>233</v>
      </c>
      <c r="G698" t="s">
        <v>33</v>
      </c>
      <c r="H698" s="6" t="s">
        <v>1210</v>
      </c>
      <c r="I698" s="11">
        <v>59431.25</v>
      </c>
      <c r="J698" t="s">
        <v>63</v>
      </c>
      <c r="K698">
        <v>-4064176926</v>
      </c>
      <c r="L698" t="s">
        <v>41</v>
      </c>
      <c r="M698" t="b">
        <v>1</v>
      </c>
      <c r="N698" s="17">
        <f t="shared" si="10"/>
        <v>45314</v>
      </c>
      <c r="O698" t="str">
        <f>LEFT(Table1[[#This Row],[Department_Region]], FIND("-", Table1[[#This Row],[Department_Region]]) - 1)</f>
        <v>DevOps</v>
      </c>
      <c r="P698" t="str">
        <f>RIGHT(Table1[[#This Row],[Department_Region]],LEN(Table1[[#This Row],[Department_Region]]) - FIND("-",Table1[[#This Row],[Department_Region]]))</f>
        <v>Florida</v>
      </c>
      <c r="Q6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698" s="15"/>
    </row>
    <row r="699" spans="1:18" x14ac:dyDescent="0.2">
      <c r="A699" s="1">
        <v>697</v>
      </c>
      <c r="B699" s="6" t="s">
        <v>1211</v>
      </c>
      <c r="C699" t="s">
        <v>65</v>
      </c>
      <c r="D699" t="s">
        <v>55</v>
      </c>
      <c r="E699">
        <v>40</v>
      </c>
      <c r="F699" t="s">
        <v>180</v>
      </c>
      <c r="G699" t="s">
        <v>28</v>
      </c>
      <c r="H699" s="6" t="s">
        <v>1212</v>
      </c>
      <c r="I699" s="11">
        <v>84306.44</v>
      </c>
      <c r="J699" t="s">
        <v>114</v>
      </c>
      <c r="K699">
        <v>-4381199536</v>
      </c>
      <c r="L699" t="s">
        <v>18</v>
      </c>
      <c r="M699" t="b">
        <v>0</v>
      </c>
      <c r="N699" s="17">
        <f t="shared" si="10"/>
        <v>45258</v>
      </c>
      <c r="O699" t="str">
        <f>LEFT(Table1[[#This Row],[Department_Region]], FIND("-", Table1[[#This Row],[Department_Region]]) - 1)</f>
        <v>Sales</v>
      </c>
      <c r="P699" t="str">
        <f>RIGHT(Table1[[#This Row],[Department_Region]],LEN(Table1[[#This Row],[Department_Region]]) - FIND("-",Table1[[#This Row],[Department_Region]]))</f>
        <v>California</v>
      </c>
      <c r="Q6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699" s="15"/>
    </row>
    <row r="700" spans="1:18" x14ac:dyDescent="0.2">
      <c r="A700" s="1">
        <v>698</v>
      </c>
      <c r="B700" s="6" t="s">
        <v>1213</v>
      </c>
      <c r="C700" t="s">
        <v>37</v>
      </c>
      <c r="D700" t="s">
        <v>55</v>
      </c>
      <c r="E700">
        <v>35</v>
      </c>
      <c r="F700" t="s">
        <v>233</v>
      </c>
      <c r="G700" t="s">
        <v>33</v>
      </c>
      <c r="H700" s="6" t="s">
        <v>890</v>
      </c>
      <c r="I700" s="11">
        <v>108194.47</v>
      </c>
      <c r="J700" t="s">
        <v>275</v>
      </c>
      <c r="K700">
        <v>-6601444855</v>
      </c>
      <c r="L700" t="s">
        <v>30</v>
      </c>
      <c r="M700" t="b">
        <v>0</v>
      </c>
      <c r="N700" s="17">
        <f t="shared" si="10"/>
        <v>45607</v>
      </c>
      <c r="O700" t="str">
        <f>LEFT(Table1[[#This Row],[Department_Region]], FIND("-", Table1[[#This Row],[Department_Region]]) - 1)</f>
        <v>DevOps</v>
      </c>
      <c r="P700" t="str">
        <f>RIGHT(Table1[[#This Row],[Department_Region]],LEN(Table1[[#This Row],[Department_Region]]) - FIND("-",Table1[[#This Row],[Department_Region]]))</f>
        <v>Florida</v>
      </c>
      <c r="Q7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00" s="15"/>
    </row>
    <row r="701" spans="1:18" x14ac:dyDescent="0.2">
      <c r="A701" s="1">
        <v>699</v>
      </c>
      <c r="B701" s="6" t="s">
        <v>1214</v>
      </c>
      <c r="C701" t="s">
        <v>54</v>
      </c>
      <c r="D701" t="s">
        <v>38</v>
      </c>
      <c r="E701">
        <v>25</v>
      </c>
      <c r="F701" t="s">
        <v>110</v>
      </c>
      <c r="G701" t="s">
        <v>33</v>
      </c>
      <c r="H701" s="6" t="s">
        <v>708</v>
      </c>
      <c r="I701" s="11">
        <v>107359.3</v>
      </c>
      <c r="J701" t="s">
        <v>91</v>
      </c>
      <c r="K701">
        <v>-4510173972</v>
      </c>
      <c r="L701" t="s">
        <v>23</v>
      </c>
      <c r="M701" t="b">
        <v>0</v>
      </c>
      <c r="N701" s="17">
        <f t="shared" si="10"/>
        <v>44436</v>
      </c>
      <c r="O701" t="str">
        <f>LEFT(Table1[[#This Row],[Department_Region]], FIND("-", Table1[[#This Row],[Department_Region]]) - 1)</f>
        <v>Sales</v>
      </c>
      <c r="P701" t="str">
        <f>RIGHT(Table1[[#This Row],[Department_Region]],LEN(Table1[[#This Row],[Department_Region]]) - FIND("-",Table1[[#This Row],[Department_Region]]))</f>
        <v>New York</v>
      </c>
      <c r="Q7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01" s="15"/>
    </row>
    <row r="702" spans="1:18" x14ac:dyDescent="0.2">
      <c r="A702" s="1">
        <v>700</v>
      </c>
      <c r="B702" s="6" t="s">
        <v>1215</v>
      </c>
      <c r="C702" t="s">
        <v>65</v>
      </c>
      <c r="D702" t="s">
        <v>55</v>
      </c>
      <c r="E702">
        <v>25</v>
      </c>
      <c r="F702" t="s">
        <v>79</v>
      </c>
      <c r="G702" t="s">
        <v>33</v>
      </c>
      <c r="H702" s="6" t="s">
        <v>1879</v>
      </c>
      <c r="I702" s="11">
        <v>85165.05</v>
      </c>
      <c r="J702" t="s">
        <v>114</v>
      </c>
      <c r="K702">
        <v>-9641789968</v>
      </c>
      <c r="L702" t="s">
        <v>30</v>
      </c>
      <c r="M702" t="b">
        <v>0</v>
      </c>
      <c r="N702" s="17">
        <f t="shared" si="10"/>
        <v>45333</v>
      </c>
      <c r="O702" t="str">
        <f>LEFT(Table1[[#This Row],[Department_Region]], FIND("-", Table1[[#This Row],[Department_Region]]) - 1)</f>
        <v>DevOps</v>
      </c>
      <c r="P702" t="str">
        <f>RIGHT(Table1[[#This Row],[Department_Region]],LEN(Table1[[#This Row],[Department_Region]]) - FIND("-",Table1[[#This Row],[Department_Region]]))</f>
        <v>Illinois</v>
      </c>
      <c r="Q7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02" s="15"/>
    </row>
    <row r="703" spans="1:18" x14ac:dyDescent="0.2">
      <c r="A703" s="1">
        <v>701</v>
      </c>
      <c r="B703" s="6" t="s">
        <v>1216</v>
      </c>
      <c r="C703" t="s">
        <v>37</v>
      </c>
      <c r="D703" t="s">
        <v>43</v>
      </c>
      <c r="E703">
        <v>32</v>
      </c>
      <c r="F703" t="s">
        <v>120</v>
      </c>
      <c r="G703" t="s">
        <v>28</v>
      </c>
      <c r="H703" s="6" t="s">
        <v>1756</v>
      </c>
      <c r="I703" s="11">
        <v>96080.26</v>
      </c>
      <c r="J703" t="s">
        <v>183</v>
      </c>
      <c r="K703">
        <v>-8609191910</v>
      </c>
      <c r="L703" t="s">
        <v>18</v>
      </c>
      <c r="M703" t="b">
        <v>0</v>
      </c>
      <c r="N703" s="17">
        <f t="shared" si="10"/>
        <v>43960</v>
      </c>
      <c r="O703" t="str">
        <f>LEFT(Table1[[#This Row],[Department_Region]], FIND("-", Table1[[#This Row],[Department_Region]]) - 1)</f>
        <v>Admin</v>
      </c>
      <c r="P703" t="str">
        <f>RIGHT(Table1[[#This Row],[Department_Region]],LEN(Table1[[#This Row],[Department_Region]]) - FIND("-",Table1[[#This Row],[Department_Region]]))</f>
        <v>California</v>
      </c>
      <c r="Q7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03" s="15"/>
    </row>
    <row r="704" spans="1:18" x14ac:dyDescent="0.2">
      <c r="A704" s="1">
        <v>702</v>
      </c>
      <c r="B704" s="6" t="s">
        <v>1217</v>
      </c>
      <c r="C704" t="s">
        <v>69</v>
      </c>
      <c r="D704" t="s">
        <v>124</v>
      </c>
      <c r="E704">
        <v>30</v>
      </c>
      <c r="F704" t="s">
        <v>222</v>
      </c>
      <c r="G704" t="s">
        <v>33</v>
      </c>
      <c r="H704" s="6" t="s">
        <v>624</v>
      </c>
      <c r="I704" s="11">
        <v>88602.75</v>
      </c>
      <c r="J704" t="s">
        <v>137</v>
      </c>
      <c r="K704">
        <v>-3599660576</v>
      </c>
      <c r="L704" t="s">
        <v>18</v>
      </c>
      <c r="M704" t="b">
        <v>1</v>
      </c>
      <c r="N704" s="17">
        <f t="shared" si="10"/>
        <v>45399</v>
      </c>
      <c r="O704" t="str">
        <f>LEFT(Table1[[#This Row],[Department_Region]], FIND("-", Table1[[#This Row],[Department_Region]]) - 1)</f>
        <v>Sales</v>
      </c>
      <c r="P704" t="str">
        <f>RIGHT(Table1[[#This Row],[Department_Region]],LEN(Table1[[#This Row],[Department_Region]]) - FIND("-",Table1[[#This Row],[Department_Region]]))</f>
        <v>Nevada</v>
      </c>
      <c r="Q7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04" s="15"/>
    </row>
    <row r="705" spans="1:18" x14ac:dyDescent="0.2">
      <c r="A705" s="1">
        <v>703</v>
      </c>
      <c r="B705" s="6" t="s">
        <v>1218</v>
      </c>
      <c r="C705" t="s">
        <v>37</v>
      </c>
      <c r="D705" t="s">
        <v>43</v>
      </c>
      <c r="E705">
        <v>40</v>
      </c>
      <c r="F705" t="s">
        <v>15</v>
      </c>
      <c r="G705" t="s">
        <v>16</v>
      </c>
      <c r="H705" s="6" t="s">
        <v>1219</v>
      </c>
      <c r="I705" s="11">
        <v>86624.04</v>
      </c>
      <c r="J705" t="s">
        <v>183</v>
      </c>
      <c r="K705">
        <v>-9806603919</v>
      </c>
      <c r="L705" t="s">
        <v>30</v>
      </c>
      <c r="M705" t="b">
        <v>1</v>
      </c>
      <c r="N705" s="17">
        <f t="shared" si="10"/>
        <v>44028</v>
      </c>
      <c r="O705" t="str">
        <f>LEFT(Table1[[#This Row],[Department_Region]], FIND("-", Table1[[#This Row],[Department_Region]]) - 1)</f>
        <v>DevOps</v>
      </c>
      <c r="P705" t="str">
        <f>RIGHT(Table1[[#This Row],[Department_Region]],LEN(Table1[[#This Row],[Department_Region]]) - FIND("-",Table1[[#This Row],[Department_Region]]))</f>
        <v>California</v>
      </c>
      <c r="Q7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05" s="15"/>
    </row>
    <row r="706" spans="1:18" x14ac:dyDescent="0.2">
      <c r="A706" s="1">
        <v>704</v>
      </c>
      <c r="B706" s="6" t="s">
        <v>1220</v>
      </c>
      <c r="C706" t="s">
        <v>54</v>
      </c>
      <c r="D706" t="s">
        <v>26</v>
      </c>
      <c r="E706">
        <v>30</v>
      </c>
      <c r="F706" t="s">
        <v>60</v>
      </c>
      <c r="G706" t="s">
        <v>16</v>
      </c>
      <c r="H706" s="6" t="s">
        <v>227</v>
      </c>
      <c r="I706" s="11">
        <v>63413.16</v>
      </c>
      <c r="J706" t="s">
        <v>122</v>
      </c>
      <c r="K706">
        <v>-5146074554</v>
      </c>
      <c r="L706" t="s">
        <v>30</v>
      </c>
      <c r="M706" t="b">
        <v>1</v>
      </c>
      <c r="N706" s="17">
        <f t="shared" ref="N706:N769" si="11">IF(ISNUMBER(H706), H706, DATE(RIGHT(H706, 4), LEFT(H706, FIND("/", H706) - 1), MID(H706, FIND("/", H706) + 1, FIND("/", H706, FIND("/", H706) + 1) - FIND("/", H706) - 1)))</f>
        <v>44825</v>
      </c>
      <c r="O706" t="str">
        <f>LEFT(Table1[[#This Row],[Department_Region]], FIND("-", Table1[[#This Row],[Department_Region]]) - 1)</f>
        <v>Cloud Tech</v>
      </c>
      <c r="P706" t="str">
        <f>RIGHT(Table1[[#This Row],[Department_Region]],LEN(Table1[[#This Row],[Department_Region]]) - FIND("-",Table1[[#This Row],[Department_Region]]))</f>
        <v>New York</v>
      </c>
      <c r="Q7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06" s="15"/>
    </row>
    <row r="707" spans="1:18" x14ac:dyDescent="0.2">
      <c r="A707" s="1">
        <v>705</v>
      </c>
      <c r="B707" s="6" t="s">
        <v>1221</v>
      </c>
      <c r="C707" t="s">
        <v>69</v>
      </c>
      <c r="D707" t="s">
        <v>26</v>
      </c>
      <c r="E707">
        <v>40</v>
      </c>
      <c r="F707" t="s">
        <v>99</v>
      </c>
      <c r="G707" t="s">
        <v>28</v>
      </c>
      <c r="H707" s="6" t="s">
        <v>1222</v>
      </c>
      <c r="I707" s="11">
        <v>67915.7</v>
      </c>
      <c r="J707" t="s">
        <v>77</v>
      </c>
      <c r="K707">
        <v>-3470574237</v>
      </c>
      <c r="L707" t="s">
        <v>30</v>
      </c>
      <c r="M707" t="b">
        <v>0</v>
      </c>
      <c r="N707" s="17">
        <f t="shared" si="11"/>
        <v>45039</v>
      </c>
      <c r="O707" t="str">
        <f>LEFT(Table1[[#This Row],[Department_Region]], FIND("-", Table1[[#This Row],[Department_Region]]) - 1)</f>
        <v>Sales</v>
      </c>
      <c r="P707" t="str">
        <f>RIGHT(Table1[[#This Row],[Department_Region]],LEN(Table1[[#This Row],[Department_Region]]) - FIND("-",Table1[[#This Row],[Department_Region]]))</f>
        <v>Illinois</v>
      </c>
      <c r="Q7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07" s="15"/>
    </row>
    <row r="708" spans="1:18" x14ac:dyDescent="0.2">
      <c r="A708" s="1">
        <v>706</v>
      </c>
      <c r="B708" s="6" t="s">
        <v>1223</v>
      </c>
      <c r="C708" t="s">
        <v>13</v>
      </c>
      <c r="D708" t="s">
        <v>20</v>
      </c>
      <c r="E708">
        <v>25</v>
      </c>
      <c r="F708" t="s">
        <v>27</v>
      </c>
      <c r="G708" t="s">
        <v>33</v>
      </c>
      <c r="H708" s="6" t="s">
        <v>1224</v>
      </c>
      <c r="I708" s="11">
        <v>108245.44</v>
      </c>
      <c r="J708" t="s">
        <v>22</v>
      </c>
      <c r="K708">
        <v>-8565271558</v>
      </c>
      <c r="L708" t="s">
        <v>41</v>
      </c>
      <c r="M708" t="b">
        <v>1</v>
      </c>
      <c r="N708" s="17">
        <f t="shared" si="11"/>
        <v>45653</v>
      </c>
      <c r="O708" t="str">
        <f>LEFT(Table1[[#This Row],[Department_Region]], FIND("-", Table1[[#This Row],[Department_Region]]) - 1)</f>
        <v>Admin</v>
      </c>
      <c r="P708" t="str">
        <f>RIGHT(Table1[[#This Row],[Department_Region]],LEN(Table1[[#This Row],[Department_Region]]) - FIND("-",Table1[[#This Row],[Department_Region]]))</f>
        <v>Nevada</v>
      </c>
      <c r="Q7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08" s="15"/>
    </row>
    <row r="709" spans="1:18" x14ac:dyDescent="0.2">
      <c r="A709" s="1">
        <v>707</v>
      </c>
      <c r="B709" s="6" t="s">
        <v>1225</v>
      </c>
      <c r="C709" t="s">
        <v>25</v>
      </c>
      <c r="D709" t="s">
        <v>43</v>
      </c>
      <c r="E709">
        <v>35</v>
      </c>
      <c r="F709" t="s">
        <v>222</v>
      </c>
      <c r="G709" t="s">
        <v>33</v>
      </c>
      <c r="H709" s="6" t="s">
        <v>1880</v>
      </c>
      <c r="I709" s="11">
        <v>75834.81</v>
      </c>
      <c r="J709" t="s">
        <v>45</v>
      </c>
      <c r="K709">
        <v>-8354116596</v>
      </c>
      <c r="L709" t="s">
        <v>23</v>
      </c>
      <c r="M709" t="b">
        <v>1</v>
      </c>
      <c r="N709" s="17">
        <f t="shared" si="11"/>
        <v>45514</v>
      </c>
      <c r="O709" t="str">
        <f>LEFT(Table1[[#This Row],[Department_Region]], FIND("-", Table1[[#This Row],[Department_Region]]) - 1)</f>
        <v>Sales</v>
      </c>
      <c r="P709" t="str">
        <f>RIGHT(Table1[[#This Row],[Department_Region]],LEN(Table1[[#This Row],[Department_Region]]) - FIND("-",Table1[[#This Row],[Department_Region]]))</f>
        <v>Nevada</v>
      </c>
      <c r="Q7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09" s="15"/>
    </row>
    <row r="710" spans="1:18" x14ac:dyDescent="0.2">
      <c r="A710" s="1">
        <v>708</v>
      </c>
      <c r="B710" s="6" t="s">
        <v>1226</v>
      </c>
      <c r="C710" t="s">
        <v>32</v>
      </c>
      <c r="D710" t="s">
        <v>43</v>
      </c>
      <c r="E710">
        <v>32</v>
      </c>
      <c r="F710" t="s">
        <v>86</v>
      </c>
      <c r="G710" t="s">
        <v>16</v>
      </c>
      <c r="H710" s="6" t="s">
        <v>1881</v>
      </c>
      <c r="I710" s="11">
        <v>71273.320000000007</v>
      </c>
      <c r="J710" t="s">
        <v>301</v>
      </c>
      <c r="K710">
        <v>-2634755751</v>
      </c>
      <c r="L710" t="s">
        <v>30</v>
      </c>
      <c r="M710" t="b">
        <v>0</v>
      </c>
      <c r="N710" s="17">
        <f t="shared" si="11"/>
        <v>45539</v>
      </c>
      <c r="O710" t="str">
        <f>LEFT(Table1[[#This Row],[Department_Region]], FIND("-", Table1[[#This Row],[Department_Region]]) - 1)</f>
        <v>Cloud Tech</v>
      </c>
      <c r="P710" t="str">
        <f>RIGHT(Table1[[#This Row],[Department_Region]],LEN(Table1[[#This Row],[Department_Region]]) - FIND("-",Table1[[#This Row],[Department_Region]]))</f>
        <v>Nevada</v>
      </c>
      <c r="Q7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10" s="15"/>
    </row>
    <row r="711" spans="1:18" x14ac:dyDescent="0.2">
      <c r="A711" s="1">
        <v>709</v>
      </c>
      <c r="B711" s="6" t="s">
        <v>1227</v>
      </c>
      <c r="C711" t="s">
        <v>13</v>
      </c>
      <c r="D711" t="s">
        <v>43</v>
      </c>
      <c r="E711">
        <v>25</v>
      </c>
      <c r="F711" t="s">
        <v>56</v>
      </c>
      <c r="G711" t="s">
        <v>28</v>
      </c>
      <c r="H711" s="6" t="s">
        <v>1228</v>
      </c>
      <c r="I711" s="11">
        <v>63262.23</v>
      </c>
      <c r="J711" t="s">
        <v>155</v>
      </c>
      <c r="K711">
        <v>-2501394883</v>
      </c>
      <c r="L711" t="s">
        <v>30</v>
      </c>
      <c r="M711" t="b">
        <v>0</v>
      </c>
      <c r="N711" s="17">
        <f t="shared" si="11"/>
        <v>44620</v>
      </c>
      <c r="O711" t="str">
        <f>LEFT(Table1[[#This Row],[Department_Region]], FIND("-", Table1[[#This Row],[Department_Region]]) - 1)</f>
        <v>DevOps</v>
      </c>
      <c r="P711" t="str">
        <f>RIGHT(Table1[[#This Row],[Department_Region]],LEN(Table1[[#This Row],[Department_Region]]) - FIND("-",Table1[[#This Row],[Department_Region]]))</f>
        <v>New York</v>
      </c>
      <c r="Q7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11" s="15"/>
    </row>
    <row r="712" spans="1:18" x14ac:dyDescent="0.2">
      <c r="A712" s="1">
        <v>710</v>
      </c>
      <c r="B712" s="6" t="s">
        <v>1229</v>
      </c>
      <c r="C712" t="s">
        <v>59</v>
      </c>
      <c r="D712" t="s">
        <v>14</v>
      </c>
      <c r="E712">
        <v>32</v>
      </c>
      <c r="F712" t="s">
        <v>56</v>
      </c>
      <c r="G712" t="s">
        <v>28</v>
      </c>
      <c r="H712" s="6" t="s">
        <v>238</v>
      </c>
      <c r="I712" s="11">
        <v>89069.91</v>
      </c>
      <c r="J712" t="s">
        <v>63</v>
      </c>
      <c r="K712">
        <v>-8826913118</v>
      </c>
      <c r="L712" t="s">
        <v>30</v>
      </c>
      <c r="M712" t="b">
        <v>0</v>
      </c>
      <c r="N712" s="17">
        <f t="shared" si="11"/>
        <v>45365</v>
      </c>
      <c r="O712" t="str">
        <f>LEFT(Table1[[#This Row],[Department_Region]], FIND("-", Table1[[#This Row],[Department_Region]]) - 1)</f>
        <v>DevOps</v>
      </c>
      <c r="P712" t="str">
        <f>RIGHT(Table1[[#This Row],[Department_Region]],LEN(Table1[[#This Row],[Department_Region]]) - FIND("-",Table1[[#This Row],[Department_Region]]))</f>
        <v>New York</v>
      </c>
      <c r="Q7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12" s="15"/>
    </row>
    <row r="713" spans="1:18" x14ac:dyDescent="0.2">
      <c r="A713" s="1">
        <v>711</v>
      </c>
      <c r="B713" s="6" t="s">
        <v>1230</v>
      </c>
      <c r="C713" t="s">
        <v>37</v>
      </c>
      <c r="D713" t="s">
        <v>55</v>
      </c>
      <c r="E713">
        <v>40</v>
      </c>
      <c r="F713" t="s">
        <v>333</v>
      </c>
      <c r="G713" t="s">
        <v>33</v>
      </c>
      <c r="H713" s="6" t="s">
        <v>162</v>
      </c>
      <c r="I713" s="11">
        <v>57287.17</v>
      </c>
      <c r="J713" t="s">
        <v>275</v>
      </c>
      <c r="K713">
        <v>-6425856260</v>
      </c>
      <c r="L713" t="s">
        <v>18</v>
      </c>
      <c r="M713" t="b">
        <v>1</v>
      </c>
      <c r="N713" s="17">
        <f t="shared" si="11"/>
        <v>45639</v>
      </c>
      <c r="O713" t="str">
        <f>LEFT(Table1[[#This Row],[Department_Region]], FIND("-", Table1[[#This Row],[Department_Region]]) - 1)</f>
        <v>DevOps</v>
      </c>
      <c r="P713" t="str">
        <f>RIGHT(Table1[[#This Row],[Department_Region]],LEN(Table1[[#This Row],[Department_Region]]) - FIND("-",Table1[[#This Row],[Department_Region]]))</f>
        <v>Nevada</v>
      </c>
      <c r="Q7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13" s="15"/>
    </row>
    <row r="714" spans="1:18" x14ac:dyDescent="0.2">
      <c r="A714" s="1">
        <v>712</v>
      </c>
      <c r="B714" s="6" t="s">
        <v>1231</v>
      </c>
      <c r="C714" t="s">
        <v>69</v>
      </c>
      <c r="D714" t="s">
        <v>124</v>
      </c>
      <c r="E714">
        <v>32</v>
      </c>
      <c r="F714" t="s">
        <v>151</v>
      </c>
      <c r="G714" t="s">
        <v>16</v>
      </c>
      <c r="H714" s="6" t="s">
        <v>231</v>
      </c>
      <c r="I714" s="11">
        <v>119890.35</v>
      </c>
      <c r="J714" t="s">
        <v>137</v>
      </c>
      <c r="K714">
        <v>-4991537037</v>
      </c>
      <c r="L714" t="s">
        <v>18</v>
      </c>
      <c r="M714" t="b">
        <v>1</v>
      </c>
      <c r="N714" s="17">
        <f t="shared" si="11"/>
        <v>44924</v>
      </c>
      <c r="O714" t="str">
        <f>LEFT(Table1[[#This Row],[Department_Region]], FIND("-", Table1[[#This Row],[Department_Region]]) - 1)</f>
        <v>HR</v>
      </c>
      <c r="P714" t="str">
        <f>RIGHT(Table1[[#This Row],[Department_Region]],LEN(Table1[[#This Row],[Department_Region]]) - FIND("-",Table1[[#This Row],[Department_Region]]))</f>
        <v>Nevada</v>
      </c>
      <c r="Q7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14" s="15"/>
    </row>
    <row r="715" spans="1:18" x14ac:dyDescent="0.2">
      <c r="A715" s="1">
        <v>713</v>
      </c>
      <c r="B715" s="6" t="s">
        <v>1232</v>
      </c>
      <c r="C715" t="s">
        <v>37</v>
      </c>
      <c r="D715" t="s">
        <v>20</v>
      </c>
      <c r="E715">
        <v>35</v>
      </c>
      <c r="F715" t="s">
        <v>180</v>
      </c>
      <c r="G715" t="s">
        <v>33</v>
      </c>
      <c r="H715" s="6" t="s">
        <v>1233</v>
      </c>
      <c r="I715" s="11">
        <v>103492.91</v>
      </c>
      <c r="J715" t="s">
        <v>243</v>
      </c>
      <c r="K715">
        <v>-2407333372</v>
      </c>
      <c r="L715" t="s">
        <v>41</v>
      </c>
      <c r="M715" t="b">
        <v>0</v>
      </c>
      <c r="N715" s="17">
        <f t="shared" si="11"/>
        <v>44675</v>
      </c>
      <c r="O715" t="str">
        <f>LEFT(Table1[[#This Row],[Department_Region]], FIND("-", Table1[[#This Row],[Department_Region]]) - 1)</f>
        <v>Sales</v>
      </c>
      <c r="P715" t="str">
        <f>RIGHT(Table1[[#This Row],[Department_Region]],LEN(Table1[[#This Row],[Department_Region]]) - FIND("-",Table1[[#This Row],[Department_Region]]))</f>
        <v>California</v>
      </c>
      <c r="Q7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15" s="15"/>
    </row>
    <row r="716" spans="1:18" x14ac:dyDescent="0.2">
      <c r="A716" s="1">
        <v>714</v>
      </c>
      <c r="B716" s="6" t="s">
        <v>1234</v>
      </c>
      <c r="C716" t="s">
        <v>37</v>
      </c>
      <c r="D716" t="s">
        <v>43</v>
      </c>
      <c r="E716">
        <v>32</v>
      </c>
      <c r="F716" t="s">
        <v>90</v>
      </c>
      <c r="G716" t="s">
        <v>28</v>
      </c>
      <c r="H716" s="6" t="s">
        <v>1235</v>
      </c>
      <c r="I716" s="11">
        <v>76254.42</v>
      </c>
      <c r="J716" t="s">
        <v>183</v>
      </c>
      <c r="K716">
        <v>-2043097767</v>
      </c>
      <c r="L716" t="s">
        <v>23</v>
      </c>
      <c r="M716" t="b">
        <v>0</v>
      </c>
      <c r="N716" s="17">
        <f t="shared" si="11"/>
        <v>44269</v>
      </c>
      <c r="O716" t="str">
        <f>LEFT(Table1[[#This Row],[Department_Region]], FIND("-", Table1[[#This Row],[Department_Region]]) - 1)</f>
        <v>Admin</v>
      </c>
      <c r="P716" t="str">
        <f>RIGHT(Table1[[#This Row],[Department_Region]],LEN(Table1[[#This Row],[Department_Region]]) - FIND("-",Table1[[#This Row],[Department_Region]]))</f>
        <v>Illinois</v>
      </c>
      <c r="Q7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16" s="15"/>
    </row>
    <row r="717" spans="1:18" x14ac:dyDescent="0.2">
      <c r="A717" s="1">
        <v>715</v>
      </c>
      <c r="B717" s="6" t="s">
        <v>1236</v>
      </c>
      <c r="C717" t="s">
        <v>32</v>
      </c>
      <c r="D717" t="s">
        <v>43</v>
      </c>
      <c r="E717">
        <v>35</v>
      </c>
      <c r="F717" t="s">
        <v>113</v>
      </c>
      <c r="G717" t="s">
        <v>33</v>
      </c>
      <c r="H717" s="6" t="s">
        <v>1874</v>
      </c>
      <c r="I717" s="11">
        <v>100841.93</v>
      </c>
      <c r="J717" t="s">
        <v>301</v>
      </c>
      <c r="K717">
        <v>-8936289695</v>
      </c>
      <c r="L717" t="s">
        <v>41</v>
      </c>
      <c r="M717" t="b">
        <v>1</v>
      </c>
      <c r="N717" s="17">
        <f t="shared" si="11"/>
        <v>43831</v>
      </c>
      <c r="O717" t="str">
        <f>LEFT(Table1[[#This Row],[Department_Region]], FIND("-", Table1[[#This Row],[Department_Region]]) - 1)</f>
        <v>Finance</v>
      </c>
      <c r="P717" t="str">
        <f>RIGHT(Table1[[#This Row],[Department_Region]],LEN(Table1[[#This Row],[Department_Region]]) - FIND("-",Table1[[#This Row],[Department_Region]]))</f>
        <v>Florida</v>
      </c>
      <c r="Q7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17" s="15"/>
    </row>
    <row r="718" spans="1:18" x14ac:dyDescent="0.2">
      <c r="A718" s="1">
        <v>716</v>
      </c>
      <c r="B718" s="6" t="s">
        <v>1237</v>
      </c>
      <c r="C718" t="s">
        <v>25</v>
      </c>
      <c r="D718" t="s">
        <v>38</v>
      </c>
      <c r="E718">
        <v>32</v>
      </c>
      <c r="F718" t="s">
        <v>120</v>
      </c>
      <c r="G718" t="s">
        <v>16</v>
      </c>
      <c r="H718" s="6" t="s">
        <v>1882</v>
      </c>
      <c r="I718" s="11">
        <v>118907.61</v>
      </c>
      <c r="J718" t="s">
        <v>368</v>
      </c>
      <c r="K718">
        <v>-4546553584</v>
      </c>
      <c r="L718" t="s">
        <v>23</v>
      </c>
      <c r="M718" t="b">
        <v>1</v>
      </c>
      <c r="N718" s="17">
        <f t="shared" si="11"/>
        <v>44446</v>
      </c>
      <c r="O718" t="str">
        <f>LEFT(Table1[[#This Row],[Department_Region]], FIND("-", Table1[[#This Row],[Department_Region]]) - 1)</f>
        <v>Admin</v>
      </c>
      <c r="P718" t="str">
        <f>RIGHT(Table1[[#This Row],[Department_Region]],LEN(Table1[[#This Row],[Department_Region]]) - FIND("-",Table1[[#This Row],[Department_Region]]))</f>
        <v>California</v>
      </c>
      <c r="Q7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18" s="15"/>
    </row>
    <row r="719" spans="1:18" x14ac:dyDescent="0.2">
      <c r="A719" s="1">
        <v>717</v>
      </c>
      <c r="B719" s="6" t="s">
        <v>1238</v>
      </c>
      <c r="C719" t="s">
        <v>37</v>
      </c>
      <c r="D719" t="s">
        <v>20</v>
      </c>
      <c r="E719">
        <v>25</v>
      </c>
      <c r="F719" t="s">
        <v>15</v>
      </c>
      <c r="G719" t="s">
        <v>28</v>
      </c>
      <c r="H719" s="6" t="s">
        <v>1239</v>
      </c>
      <c r="I719" s="11">
        <v>88942.62</v>
      </c>
      <c r="J719" t="s">
        <v>243</v>
      </c>
      <c r="K719">
        <v>-1253892186</v>
      </c>
      <c r="L719" t="s">
        <v>18</v>
      </c>
      <c r="M719" t="b">
        <v>0</v>
      </c>
      <c r="N719" s="17">
        <f t="shared" si="11"/>
        <v>44878</v>
      </c>
      <c r="O719" t="str">
        <f>LEFT(Table1[[#This Row],[Department_Region]], FIND("-", Table1[[#This Row],[Department_Region]]) - 1)</f>
        <v>DevOps</v>
      </c>
      <c r="P719" t="str">
        <f>RIGHT(Table1[[#This Row],[Department_Region]],LEN(Table1[[#This Row],[Department_Region]]) - FIND("-",Table1[[#This Row],[Department_Region]]))</f>
        <v>California</v>
      </c>
      <c r="Q7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19" s="15"/>
    </row>
    <row r="720" spans="1:18" x14ac:dyDescent="0.2">
      <c r="A720" s="1">
        <v>718</v>
      </c>
      <c r="B720" s="6" t="s">
        <v>1240</v>
      </c>
      <c r="C720" t="s">
        <v>54</v>
      </c>
      <c r="D720" t="s">
        <v>43</v>
      </c>
      <c r="E720">
        <v>25</v>
      </c>
      <c r="F720" t="s">
        <v>39</v>
      </c>
      <c r="G720" t="s">
        <v>33</v>
      </c>
      <c r="H720" s="6" t="s">
        <v>1136</v>
      </c>
      <c r="I720" s="11">
        <v>59688.57</v>
      </c>
      <c r="J720" t="s">
        <v>88</v>
      </c>
      <c r="K720">
        <v>-8519358373</v>
      </c>
      <c r="L720" t="s">
        <v>18</v>
      </c>
      <c r="M720" t="b">
        <v>0</v>
      </c>
      <c r="N720" s="17">
        <f t="shared" si="11"/>
        <v>44150</v>
      </c>
      <c r="O720" t="str">
        <f>LEFT(Table1[[#This Row],[Department_Region]], FIND("-", Table1[[#This Row],[Department_Region]]) - 1)</f>
        <v>Cloud Tech</v>
      </c>
      <c r="P720" t="str">
        <f>RIGHT(Table1[[#This Row],[Department_Region]],LEN(Table1[[#This Row],[Department_Region]]) - FIND("-",Table1[[#This Row],[Department_Region]]))</f>
        <v>Florida</v>
      </c>
      <c r="Q7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20" s="15"/>
    </row>
    <row r="721" spans="1:18" x14ac:dyDescent="0.2">
      <c r="A721" s="1">
        <v>719</v>
      </c>
      <c r="B721" s="6" t="s">
        <v>1241</v>
      </c>
      <c r="C721" t="s">
        <v>59</v>
      </c>
      <c r="D721" t="s">
        <v>20</v>
      </c>
      <c r="E721">
        <v>30</v>
      </c>
      <c r="F721" t="s">
        <v>148</v>
      </c>
      <c r="G721" t="s">
        <v>16</v>
      </c>
      <c r="H721" s="6" t="s">
        <v>1242</v>
      </c>
      <c r="I721" s="11">
        <v>77985.88</v>
      </c>
      <c r="J721" t="s">
        <v>228</v>
      </c>
      <c r="K721">
        <v>-9079779611</v>
      </c>
      <c r="L721" t="s">
        <v>18</v>
      </c>
      <c r="M721" t="b">
        <v>1</v>
      </c>
      <c r="N721" s="17">
        <f t="shared" si="11"/>
        <v>44999</v>
      </c>
      <c r="O721" t="str">
        <f>LEFT(Table1[[#This Row],[Department_Region]], FIND("-", Table1[[#This Row],[Department_Region]]) - 1)</f>
        <v>HR</v>
      </c>
      <c r="P721" t="str">
        <f>RIGHT(Table1[[#This Row],[Department_Region]],LEN(Table1[[#This Row],[Department_Region]]) - FIND("-",Table1[[#This Row],[Department_Region]]))</f>
        <v>California</v>
      </c>
      <c r="Q7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1" s="15"/>
    </row>
    <row r="722" spans="1:18" x14ac:dyDescent="0.2">
      <c r="A722" s="1">
        <v>720</v>
      </c>
      <c r="B722" s="6" t="s">
        <v>1243</v>
      </c>
      <c r="C722" t="s">
        <v>13</v>
      </c>
      <c r="D722" t="s">
        <v>55</v>
      </c>
      <c r="E722">
        <v>35</v>
      </c>
      <c r="F722" t="s">
        <v>230</v>
      </c>
      <c r="G722" t="s">
        <v>33</v>
      </c>
      <c r="H722" s="6" t="s">
        <v>1244</v>
      </c>
      <c r="I722" s="11">
        <v>112931.69</v>
      </c>
      <c r="J722" t="s">
        <v>202</v>
      </c>
      <c r="K722">
        <v>-878057214</v>
      </c>
      <c r="L722" t="s">
        <v>41</v>
      </c>
      <c r="M722" t="b">
        <v>0</v>
      </c>
      <c r="N722" s="17">
        <f t="shared" si="11"/>
        <v>45522</v>
      </c>
      <c r="O722" t="str">
        <f>LEFT(Table1[[#This Row],[Department_Region]], FIND("-", Table1[[#This Row],[Department_Region]]) - 1)</f>
        <v>Finance</v>
      </c>
      <c r="P722" t="str">
        <f>RIGHT(Table1[[#This Row],[Department_Region]],LEN(Table1[[#This Row],[Department_Region]]) - FIND("-",Table1[[#This Row],[Department_Region]]))</f>
        <v>New York</v>
      </c>
      <c r="Q7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22" s="15"/>
    </row>
    <row r="723" spans="1:18" x14ac:dyDescent="0.2">
      <c r="A723" s="1">
        <v>721</v>
      </c>
      <c r="B723" s="6" t="s">
        <v>1245</v>
      </c>
      <c r="C723" t="s">
        <v>13</v>
      </c>
      <c r="D723" t="s">
        <v>38</v>
      </c>
      <c r="E723">
        <v>32</v>
      </c>
      <c r="F723" t="s">
        <v>15</v>
      </c>
      <c r="G723" t="s">
        <v>16</v>
      </c>
      <c r="H723" s="6" t="s">
        <v>1883</v>
      </c>
      <c r="I723" s="11">
        <v>106583.88</v>
      </c>
      <c r="J723" t="s">
        <v>146</v>
      </c>
      <c r="K723">
        <v>-1494097625</v>
      </c>
      <c r="L723" t="s">
        <v>30</v>
      </c>
      <c r="M723" t="b">
        <v>1</v>
      </c>
      <c r="N723" s="17">
        <f t="shared" si="11"/>
        <v>45327</v>
      </c>
      <c r="O723" t="str">
        <f>LEFT(Table1[[#This Row],[Department_Region]], FIND("-", Table1[[#This Row],[Department_Region]]) - 1)</f>
        <v>DevOps</v>
      </c>
      <c r="P723" t="str">
        <f>RIGHT(Table1[[#This Row],[Department_Region]],LEN(Table1[[#This Row],[Department_Region]]) - FIND("-",Table1[[#This Row],[Department_Region]]))</f>
        <v>California</v>
      </c>
      <c r="Q7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3" s="15"/>
    </row>
    <row r="724" spans="1:18" x14ac:dyDescent="0.2">
      <c r="A724" s="1">
        <v>722</v>
      </c>
      <c r="B724" s="6" t="s">
        <v>1246</v>
      </c>
      <c r="C724" t="s">
        <v>25</v>
      </c>
      <c r="D724" t="s">
        <v>20</v>
      </c>
      <c r="E724">
        <v>35</v>
      </c>
      <c r="F724" t="s">
        <v>215</v>
      </c>
      <c r="G724" t="s">
        <v>33</v>
      </c>
      <c r="H724" s="6" t="s">
        <v>405</v>
      </c>
      <c r="I724" s="11">
        <v>58437.84</v>
      </c>
      <c r="J724" t="s">
        <v>81</v>
      </c>
      <c r="K724">
        <v>-3748453985</v>
      </c>
      <c r="L724" t="s">
        <v>30</v>
      </c>
      <c r="M724" t="b">
        <v>1</v>
      </c>
      <c r="N724" s="17">
        <f t="shared" si="11"/>
        <v>45608</v>
      </c>
      <c r="O724" t="str">
        <f>LEFT(Table1[[#This Row],[Department_Region]], FIND("-", Table1[[#This Row],[Department_Region]]) - 1)</f>
        <v>HR</v>
      </c>
      <c r="P724" t="str">
        <f>RIGHT(Table1[[#This Row],[Department_Region]],LEN(Table1[[#This Row],[Department_Region]]) - FIND("-",Table1[[#This Row],[Department_Region]]))</f>
        <v>Florida</v>
      </c>
      <c r="Q7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4" s="15"/>
    </row>
    <row r="725" spans="1:18" x14ac:dyDescent="0.2">
      <c r="A725" s="1">
        <v>723</v>
      </c>
      <c r="B725" s="6" t="s">
        <v>1247</v>
      </c>
      <c r="C725" t="s">
        <v>25</v>
      </c>
      <c r="D725" t="s">
        <v>124</v>
      </c>
      <c r="E725">
        <v>40</v>
      </c>
      <c r="F725" t="s">
        <v>272</v>
      </c>
      <c r="G725" t="s">
        <v>28</v>
      </c>
      <c r="H725" s="6" t="s">
        <v>444</v>
      </c>
      <c r="I725" s="11">
        <v>72352.160000000003</v>
      </c>
      <c r="J725" t="s">
        <v>185</v>
      </c>
      <c r="K725">
        <v>-2895090590</v>
      </c>
      <c r="L725" t="s">
        <v>18</v>
      </c>
      <c r="M725" t="b">
        <v>1</v>
      </c>
      <c r="N725" s="17">
        <f t="shared" si="11"/>
        <v>43915</v>
      </c>
      <c r="O725" t="str">
        <f>LEFT(Table1[[#This Row],[Department_Region]], FIND("-", Table1[[#This Row],[Department_Region]]) - 1)</f>
        <v>Cloud Tech</v>
      </c>
      <c r="P725" t="str">
        <f>RIGHT(Table1[[#This Row],[Department_Region]],LEN(Table1[[#This Row],[Department_Region]]) - FIND("-",Table1[[#This Row],[Department_Region]]))</f>
        <v>California</v>
      </c>
      <c r="Q7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25" s="15"/>
    </row>
    <row r="726" spans="1:18" x14ac:dyDescent="0.2">
      <c r="A726" s="1">
        <v>724</v>
      </c>
      <c r="B726" s="6" t="s">
        <v>1248</v>
      </c>
      <c r="C726" t="s">
        <v>37</v>
      </c>
      <c r="D726" t="s">
        <v>124</v>
      </c>
      <c r="E726">
        <v>32</v>
      </c>
      <c r="F726" t="s">
        <v>56</v>
      </c>
      <c r="G726" t="s">
        <v>16</v>
      </c>
      <c r="H726" s="6" t="s">
        <v>1249</v>
      </c>
      <c r="I726" s="11">
        <v>97154.47</v>
      </c>
      <c r="J726" t="s">
        <v>139</v>
      </c>
      <c r="K726">
        <v>-1918623391</v>
      </c>
      <c r="L726" t="s">
        <v>30</v>
      </c>
      <c r="M726" t="b">
        <v>1</v>
      </c>
      <c r="N726" s="17">
        <f t="shared" si="11"/>
        <v>43934</v>
      </c>
      <c r="O726" t="str">
        <f>LEFT(Table1[[#This Row],[Department_Region]], FIND("-", Table1[[#This Row],[Department_Region]]) - 1)</f>
        <v>DevOps</v>
      </c>
      <c r="P726" t="str">
        <f>RIGHT(Table1[[#This Row],[Department_Region]],LEN(Table1[[#This Row],[Department_Region]]) - FIND("-",Table1[[#This Row],[Department_Region]]))</f>
        <v>New York</v>
      </c>
      <c r="Q7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6" s="15"/>
    </row>
    <row r="727" spans="1:18" x14ac:dyDescent="0.2">
      <c r="A727" s="1">
        <v>725</v>
      </c>
      <c r="B727" s="6" t="s">
        <v>1250</v>
      </c>
      <c r="C727" t="s">
        <v>65</v>
      </c>
      <c r="D727" t="s">
        <v>26</v>
      </c>
      <c r="E727">
        <v>32</v>
      </c>
      <c r="F727" t="s">
        <v>99</v>
      </c>
      <c r="G727" t="s">
        <v>16</v>
      </c>
      <c r="H727" s="6" t="s">
        <v>989</v>
      </c>
      <c r="I727" s="11">
        <v>80235.5</v>
      </c>
      <c r="J727" t="s">
        <v>324</v>
      </c>
      <c r="K727">
        <v>-2071511695</v>
      </c>
      <c r="L727" t="s">
        <v>30</v>
      </c>
      <c r="M727" t="b">
        <v>0</v>
      </c>
      <c r="N727" s="17">
        <f t="shared" si="11"/>
        <v>44285</v>
      </c>
      <c r="O727" t="str">
        <f>LEFT(Table1[[#This Row],[Department_Region]], FIND("-", Table1[[#This Row],[Department_Region]]) - 1)</f>
        <v>Sales</v>
      </c>
      <c r="P727" t="str">
        <f>RIGHT(Table1[[#This Row],[Department_Region]],LEN(Table1[[#This Row],[Department_Region]]) - FIND("-",Table1[[#This Row],[Department_Region]]))</f>
        <v>Illinois</v>
      </c>
      <c r="Q7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7" s="15"/>
    </row>
    <row r="728" spans="1:18" x14ac:dyDescent="0.2">
      <c r="A728" s="1">
        <v>726</v>
      </c>
      <c r="B728" s="6" t="s">
        <v>1251</v>
      </c>
      <c r="C728" t="s">
        <v>54</v>
      </c>
      <c r="D728" t="s">
        <v>38</v>
      </c>
      <c r="E728">
        <v>30</v>
      </c>
      <c r="F728" t="s">
        <v>141</v>
      </c>
      <c r="G728" t="s">
        <v>33</v>
      </c>
      <c r="H728" s="6" t="s">
        <v>1148</v>
      </c>
      <c r="I728" s="11">
        <v>102172.05</v>
      </c>
      <c r="J728" t="s">
        <v>91</v>
      </c>
      <c r="K728">
        <v>-6672521451</v>
      </c>
      <c r="L728" t="s">
        <v>41</v>
      </c>
      <c r="M728" t="b">
        <v>0</v>
      </c>
      <c r="N728" s="17">
        <f t="shared" si="11"/>
        <v>45001</v>
      </c>
      <c r="O728" t="str">
        <f>LEFT(Table1[[#This Row],[Department_Region]], FIND("-", Table1[[#This Row],[Department_Region]]) - 1)</f>
        <v>HR</v>
      </c>
      <c r="P728" t="str">
        <f>RIGHT(Table1[[#This Row],[Department_Region]],LEN(Table1[[#This Row],[Department_Region]]) - FIND("-",Table1[[#This Row],[Department_Region]]))</f>
        <v>Texas</v>
      </c>
      <c r="Q7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28" s="15"/>
    </row>
    <row r="729" spans="1:18" x14ac:dyDescent="0.2">
      <c r="A729" s="1">
        <v>727</v>
      </c>
      <c r="B729" s="6" t="s">
        <v>1252</v>
      </c>
      <c r="C729" t="s">
        <v>32</v>
      </c>
      <c r="D729" t="s">
        <v>38</v>
      </c>
      <c r="E729">
        <v>25</v>
      </c>
      <c r="F729" t="s">
        <v>269</v>
      </c>
      <c r="G729" t="s">
        <v>33</v>
      </c>
      <c r="H729" s="6" t="s">
        <v>1792</v>
      </c>
      <c r="I729" s="11">
        <v>98850.94</v>
      </c>
      <c r="J729" t="s">
        <v>143</v>
      </c>
      <c r="K729">
        <v>-6471246334</v>
      </c>
      <c r="L729" t="s">
        <v>23</v>
      </c>
      <c r="M729" t="b">
        <v>1</v>
      </c>
      <c r="N729" s="17">
        <f t="shared" si="11"/>
        <v>45415</v>
      </c>
      <c r="O729" t="str">
        <f>LEFT(Table1[[#This Row],[Department_Region]], FIND("-", Table1[[#This Row],[Department_Region]]) - 1)</f>
        <v>Finance</v>
      </c>
      <c r="P729" t="str">
        <f>RIGHT(Table1[[#This Row],[Department_Region]],LEN(Table1[[#This Row],[Department_Region]]) - FIND("-",Table1[[#This Row],[Department_Region]]))</f>
        <v>Illinois</v>
      </c>
      <c r="Q7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29" s="15"/>
    </row>
    <row r="730" spans="1:18" x14ac:dyDescent="0.2">
      <c r="A730" s="1">
        <v>728</v>
      </c>
      <c r="B730" s="6" t="s">
        <v>1253</v>
      </c>
      <c r="C730" t="s">
        <v>65</v>
      </c>
      <c r="D730" t="s">
        <v>26</v>
      </c>
      <c r="E730">
        <v>32</v>
      </c>
      <c r="F730" t="s">
        <v>208</v>
      </c>
      <c r="G730" t="s">
        <v>33</v>
      </c>
      <c r="H730" s="6" t="s">
        <v>1254</v>
      </c>
      <c r="I730" s="11">
        <v>89993.15</v>
      </c>
      <c r="J730" t="s">
        <v>324</v>
      </c>
      <c r="K730">
        <v>-1571840907</v>
      </c>
      <c r="L730" t="s">
        <v>18</v>
      </c>
      <c r="M730" t="b">
        <v>1</v>
      </c>
      <c r="N730" s="17">
        <f t="shared" si="11"/>
        <v>45166</v>
      </c>
      <c r="O730" t="str">
        <f>LEFT(Table1[[#This Row],[Department_Region]], FIND("-", Table1[[#This Row],[Department_Region]]) - 1)</f>
        <v>Admin</v>
      </c>
      <c r="P730" t="str">
        <f>RIGHT(Table1[[#This Row],[Department_Region]],LEN(Table1[[#This Row],[Department_Region]]) - FIND("-",Table1[[#This Row],[Department_Region]]))</f>
        <v>Florida</v>
      </c>
      <c r="Q7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30" s="15"/>
    </row>
    <row r="731" spans="1:18" x14ac:dyDescent="0.2">
      <c r="A731" s="1">
        <v>729</v>
      </c>
      <c r="B731" s="6" t="s">
        <v>1255</v>
      </c>
      <c r="C731" t="s">
        <v>59</v>
      </c>
      <c r="D731" t="s">
        <v>20</v>
      </c>
      <c r="E731">
        <v>30</v>
      </c>
      <c r="F731" t="s">
        <v>272</v>
      </c>
      <c r="G731" t="s">
        <v>33</v>
      </c>
      <c r="H731" s="6" t="s">
        <v>596</v>
      </c>
      <c r="I731" s="11">
        <v>97931.66</v>
      </c>
      <c r="J731" t="s">
        <v>228</v>
      </c>
      <c r="K731">
        <v>-512080055</v>
      </c>
      <c r="L731" t="s">
        <v>18</v>
      </c>
      <c r="M731" t="b">
        <v>1</v>
      </c>
      <c r="N731" s="17">
        <f t="shared" si="11"/>
        <v>44493</v>
      </c>
      <c r="O731" t="str">
        <f>LEFT(Table1[[#This Row],[Department_Region]], FIND("-", Table1[[#This Row],[Department_Region]]) - 1)</f>
        <v>Cloud Tech</v>
      </c>
      <c r="P731" t="str">
        <f>RIGHT(Table1[[#This Row],[Department_Region]],LEN(Table1[[#This Row],[Department_Region]]) - FIND("-",Table1[[#This Row],[Department_Region]]))</f>
        <v>California</v>
      </c>
      <c r="Q7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31" s="15"/>
    </row>
    <row r="732" spans="1:18" x14ac:dyDescent="0.2">
      <c r="A732" s="1">
        <v>730</v>
      </c>
      <c r="B732" s="6" t="s">
        <v>1256</v>
      </c>
      <c r="C732" t="s">
        <v>13</v>
      </c>
      <c r="D732" t="s">
        <v>38</v>
      </c>
      <c r="E732">
        <v>40</v>
      </c>
      <c r="F732" t="s">
        <v>70</v>
      </c>
      <c r="G732" t="s">
        <v>33</v>
      </c>
      <c r="H732" s="6" t="s">
        <v>1257</v>
      </c>
      <c r="I732" s="11">
        <v>72451.69</v>
      </c>
      <c r="J732" t="s">
        <v>146</v>
      </c>
      <c r="K732">
        <v>-4099512396</v>
      </c>
      <c r="L732" t="s">
        <v>41</v>
      </c>
      <c r="M732" t="b">
        <v>1</v>
      </c>
      <c r="N732" s="17">
        <f t="shared" si="11"/>
        <v>44221</v>
      </c>
      <c r="O732" t="str">
        <f>LEFT(Table1[[#This Row],[Department_Region]], FIND("-", Table1[[#This Row],[Department_Region]]) - 1)</f>
        <v>Finance</v>
      </c>
      <c r="P732" t="str">
        <f>RIGHT(Table1[[#This Row],[Department_Region]],LEN(Table1[[#This Row],[Department_Region]]) - FIND("-",Table1[[#This Row],[Department_Region]]))</f>
        <v>California</v>
      </c>
      <c r="Q7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32" s="15"/>
    </row>
    <row r="733" spans="1:18" x14ac:dyDescent="0.2">
      <c r="A733" s="1">
        <v>731</v>
      </c>
      <c r="B733" s="6" t="s">
        <v>1258</v>
      </c>
      <c r="C733" t="s">
        <v>25</v>
      </c>
      <c r="D733" t="s">
        <v>124</v>
      </c>
      <c r="E733">
        <v>35</v>
      </c>
      <c r="F733" t="s">
        <v>120</v>
      </c>
      <c r="G733" t="s">
        <v>28</v>
      </c>
      <c r="H733" s="6" t="s">
        <v>1884</v>
      </c>
      <c r="I733" s="11">
        <v>119311.14</v>
      </c>
      <c r="J733" t="s">
        <v>185</v>
      </c>
      <c r="K733">
        <v>-2835129591</v>
      </c>
      <c r="L733" t="s">
        <v>41</v>
      </c>
      <c r="M733" t="b">
        <v>1</v>
      </c>
      <c r="N733" s="17">
        <f t="shared" si="11"/>
        <v>45513</v>
      </c>
      <c r="O733" t="str">
        <f>LEFT(Table1[[#This Row],[Department_Region]], FIND("-", Table1[[#This Row],[Department_Region]]) - 1)</f>
        <v>Admin</v>
      </c>
      <c r="P733" t="str">
        <f>RIGHT(Table1[[#This Row],[Department_Region]],LEN(Table1[[#This Row],[Department_Region]]) - FIND("-",Table1[[#This Row],[Department_Region]]))</f>
        <v>California</v>
      </c>
      <c r="Q7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33" s="15"/>
    </row>
    <row r="734" spans="1:18" x14ac:dyDescent="0.2">
      <c r="A734" s="1">
        <v>732</v>
      </c>
      <c r="B734" s="6" t="s">
        <v>1259</v>
      </c>
      <c r="C734" t="s">
        <v>54</v>
      </c>
      <c r="D734" t="s">
        <v>124</v>
      </c>
      <c r="E734">
        <v>40</v>
      </c>
      <c r="F734" t="s">
        <v>60</v>
      </c>
      <c r="G734" t="s">
        <v>16</v>
      </c>
      <c r="H734" s="6" t="s">
        <v>1746</v>
      </c>
      <c r="I734" s="11">
        <v>76167.460000000006</v>
      </c>
      <c r="J734" t="s">
        <v>197</v>
      </c>
      <c r="K734">
        <v>-7282709080</v>
      </c>
      <c r="L734" t="s">
        <v>30</v>
      </c>
      <c r="M734" t="b">
        <v>0</v>
      </c>
      <c r="N734" s="17">
        <f t="shared" si="11"/>
        <v>45234</v>
      </c>
      <c r="O734" t="str">
        <f>LEFT(Table1[[#This Row],[Department_Region]], FIND("-", Table1[[#This Row],[Department_Region]]) - 1)</f>
        <v>Cloud Tech</v>
      </c>
      <c r="P734" t="str">
        <f>RIGHT(Table1[[#This Row],[Department_Region]],LEN(Table1[[#This Row],[Department_Region]]) - FIND("-",Table1[[#This Row],[Department_Region]]))</f>
        <v>New York</v>
      </c>
      <c r="Q7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34" s="15"/>
    </row>
    <row r="735" spans="1:18" x14ac:dyDescent="0.2">
      <c r="A735" s="1">
        <v>733</v>
      </c>
      <c r="B735" s="6" t="s">
        <v>1260</v>
      </c>
      <c r="C735" t="s">
        <v>13</v>
      </c>
      <c r="D735" t="s">
        <v>43</v>
      </c>
      <c r="E735">
        <v>25</v>
      </c>
      <c r="F735" t="s">
        <v>241</v>
      </c>
      <c r="G735" t="s">
        <v>16</v>
      </c>
      <c r="H735" s="6" t="s">
        <v>1261</v>
      </c>
      <c r="I735" s="11">
        <v>114871.08</v>
      </c>
      <c r="J735" t="s">
        <v>155</v>
      </c>
      <c r="K735">
        <v>-4415298216</v>
      </c>
      <c r="L735" t="s">
        <v>18</v>
      </c>
      <c r="M735" t="b">
        <v>0</v>
      </c>
      <c r="N735" s="17">
        <f t="shared" si="11"/>
        <v>45102</v>
      </c>
      <c r="O735" t="str">
        <f>LEFT(Table1[[#This Row],[Department_Region]], FIND("-", Table1[[#This Row],[Department_Region]]) - 1)</f>
        <v>DevOps</v>
      </c>
      <c r="P735" t="str">
        <f>RIGHT(Table1[[#This Row],[Department_Region]],LEN(Table1[[#This Row],[Department_Region]]) - FIND("-",Table1[[#This Row],[Department_Region]]))</f>
        <v>Texas</v>
      </c>
      <c r="Q7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35" s="15"/>
    </row>
    <row r="736" spans="1:18" x14ac:dyDescent="0.2">
      <c r="A736" s="1">
        <v>734</v>
      </c>
      <c r="B736" s="6" t="s">
        <v>1262</v>
      </c>
      <c r="C736" t="s">
        <v>32</v>
      </c>
      <c r="D736" t="s">
        <v>55</v>
      </c>
      <c r="E736">
        <v>25</v>
      </c>
      <c r="F736" t="s">
        <v>151</v>
      </c>
      <c r="G736" t="s">
        <v>16</v>
      </c>
      <c r="H736" s="6" t="s">
        <v>1263</v>
      </c>
      <c r="I736" s="11">
        <v>81504.31</v>
      </c>
      <c r="J736" t="s">
        <v>327</v>
      </c>
      <c r="K736">
        <v>-3929578670</v>
      </c>
      <c r="L736" t="s">
        <v>23</v>
      </c>
      <c r="M736" t="b">
        <v>0</v>
      </c>
      <c r="N736" s="17">
        <f t="shared" si="11"/>
        <v>44455</v>
      </c>
      <c r="O736" t="str">
        <f>LEFT(Table1[[#This Row],[Department_Region]], FIND("-", Table1[[#This Row],[Department_Region]]) - 1)</f>
        <v>HR</v>
      </c>
      <c r="P736" t="str">
        <f>RIGHT(Table1[[#This Row],[Department_Region]],LEN(Table1[[#This Row],[Department_Region]]) - FIND("-",Table1[[#This Row],[Department_Region]]))</f>
        <v>Nevada</v>
      </c>
      <c r="Q7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36" s="15"/>
    </row>
    <row r="737" spans="1:18" x14ac:dyDescent="0.2">
      <c r="A737" s="1">
        <v>735</v>
      </c>
      <c r="B737" s="6" t="s">
        <v>1264</v>
      </c>
      <c r="C737" t="s">
        <v>59</v>
      </c>
      <c r="D737" t="s">
        <v>38</v>
      </c>
      <c r="E737">
        <v>32</v>
      </c>
      <c r="F737" t="s">
        <v>199</v>
      </c>
      <c r="G737" t="s">
        <v>28</v>
      </c>
      <c r="H737" s="6" t="s">
        <v>1885</v>
      </c>
      <c r="I737" s="11">
        <v>102524.86</v>
      </c>
      <c r="J737" t="s">
        <v>61</v>
      </c>
      <c r="K737">
        <v>-8153523735</v>
      </c>
      <c r="L737" t="s">
        <v>41</v>
      </c>
      <c r="M737" t="b">
        <v>0</v>
      </c>
      <c r="N737" s="17">
        <f t="shared" si="11"/>
        <v>44902</v>
      </c>
      <c r="O737" t="str">
        <f>LEFT(Table1[[#This Row],[Department_Region]], FIND("-", Table1[[#This Row],[Department_Region]]) - 1)</f>
        <v>Admin</v>
      </c>
      <c r="P737" t="str">
        <f>RIGHT(Table1[[#This Row],[Department_Region]],LEN(Table1[[#This Row],[Department_Region]]) - FIND("-",Table1[[#This Row],[Department_Region]]))</f>
        <v>New York</v>
      </c>
      <c r="Q7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37" s="15"/>
    </row>
    <row r="738" spans="1:18" x14ac:dyDescent="0.2">
      <c r="A738" s="1">
        <v>736</v>
      </c>
      <c r="B738" s="6" t="s">
        <v>1265</v>
      </c>
      <c r="C738" t="s">
        <v>54</v>
      </c>
      <c r="D738" t="s">
        <v>20</v>
      </c>
      <c r="E738">
        <v>25</v>
      </c>
      <c r="F738" t="s">
        <v>269</v>
      </c>
      <c r="G738" t="s">
        <v>28</v>
      </c>
      <c r="H738" s="6" t="s">
        <v>1266</v>
      </c>
      <c r="I738" s="11">
        <v>53043.74</v>
      </c>
      <c r="J738" t="s">
        <v>127</v>
      </c>
      <c r="K738">
        <v>-507918157</v>
      </c>
      <c r="L738" t="s">
        <v>23</v>
      </c>
      <c r="M738" t="b">
        <v>1</v>
      </c>
      <c r="N738" s="17">
        <f t="shared" si="11"/>
        <v>44909</v>
      </c>
      <c r="O738" t="str">
        <f>LEFT(Table1[[#This Row],[Department_Region]], FIND("-", Table1[[#This Row],[Department_Region]]) - 1)</f>
        <v>Finance</v>
      </c>
      <c r="P738" t="str">
        <f>RIGHT(Table1[[#This Row],[Department_Region]],LEN(Table1[[#This Row],[Department_Region]]) - FIND("-",Table1[[#This Row],[Department_Region]]))</f>
        <v>Illinois</v>
      </c>
      <c r="Q7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38" s="15"/>
    </row>
    <row r="739" spans="1:18" x14ac:dyDescent="0.2">
      <c r="A739" s="1">
        <v>737</v>
      </c>
      <c r="B739" s="6" t="s">
        <v>1267</v>
      </c>
      <c r="C739" t="s">
        <v>32</v>
      </c>
      <c r="D739" t="s">
        <v>26</v>
      </c>
      <c r="E739">
        <v>30</v>
      </c>
      <c r="F739" t="s">
        <v>79</v>
      </c>
      <c r="G739" t="s">
        <v>33</v>
      </c>
      <c r="H739" s="6" t="s">
        <v>1268</v>
      </c>
      <c r="I739" s="11">
        <v>82547.259999999995</v>
      </c>
      <c r="J739" t="s">
        <v>281</v>
      </c>
      <c r="K739">
        <v>-9988683451</v>
      </c>
      <c r="L739" t="s">
        <v>23</v>
      </c>
      <c r="M739" t="b">
        <v>1</v>
      </c>
      <c r="N739" s="17">
        <f t="shared" si="11"/>
        <v>43939</v>
      </c>
      <c r="O739" t="str">
        <f>LEFT(Table1[[#This Row],[Department_Region]], FIND("-", Table1[[#This Row],[Department_Region]]) - 1)</f>
        <v>DevOps</v>
      </c>
      <c r="P739" t="str">
        <f>RIGHT(Table1[[#This Row],[Department_Region]],LEN(Table1[[#This Row],[Department_Region]]) - FIND("-",Table1[[#This Row],[Department_Region]]))</f>
        <v>Illinois</v>
      </c>
      <c r="Q7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39" s="15"/>
    </row>
    <row r="740" spans="1:18" x14ac:dyDescent="0.2">
      <c r="A740" s="1">
        <v>738</v>
      </c>
      <c r="B740" s="6" t="s">
        <v>1269</v>
      </c>
      <c r="C740" t="s">
        <v>13</v>
      </c>
      <c r="D740" t="s">
        <v>26</v>
      </c>
      <c r="E740">
        <v>40</v>
      </c>
      <c r="F740" t="s">
        <v>15</v>
      </c>
      <c r="G740" t="s">
        <v>28</v>
      </c>
      <c r="H740" s="6" t="s">
        <v>1270</v>
      </c>
      <c r="I740" s="11">
        <v>113900.81</v>
      </c>
      <c r="J740" t="s">
        <v>50</v>
      </c>
      <c r="K740">
        <v>-7346666169</v>
      </c>
      <c r="L740" t="s">
        <v>18</v>
      </c>
      <c r="M740" t="b">
        <v>1</v>
      </c>
      <c r="N740" s="17">
        <f t="shared" si="11"/>
        <v>45576</v>
      </c>
      <c r="O740" t="str">
        <f>LEFT(Table1[[#This Row],[Department_Region]], FIND("-", Table1[[#This Row],[Department_Region]]) - 1)</f>
        <v>DevOps</v>
      </c>
      <c r="P740" t="str">
        <f>RIGHT(Table1[[#This Row],[Department_Region]],LEN(Table1[[#This Row],[Department_Region]]) - FIND("-",Table1[[#This Row],[Department_Region]]))</f>
        <v>California</v>
      </c>
      <c r="Q7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0" s="15"/>
    </row>
    <row r="741" spans="1:18" x14ac:dyDescent="0.2">
      <c r="A741" s="1">
        <v>739</v>
      </c>
      <c r="B741" s="6" t="s">
        <v>1271</v>
      </c>
      <c r="C741" t="s">
        <v>13</v>
      </c>
      <c r="D741" t="s">
        <v>20</v>
      </c>
      <c r="E741">
        <v>25</v>
      </c>
      <c r="F741" t="s">
        <v>151</v>
      </c>
      <c r="G741" t="s">
        <v>33</v>
      </c>
      <c r="H741" s="6" t="s">
        <v>217</v>
      </c>
      <c r="I741" s="11">
        <v>118585.5</v>
      </c>
      <c r="J741" t="s">
        <v>22</v>
      </c>
      <c r="K741">
        <v>-7158796473</v>
      </c>
      <c r="L741" t="s">
        <v>18</v>
      </c>
      <c r="M741" t="b">
        <v>1</v>
      </c>
      <c r="N741" s="17">
        <f t="shared" si="11"/>
        <v>44304</v>
      </c>
      <c r="O741" t="str">
        <f>LEFT(Table1[[#This Row],[Department_Region]], FIND("-", Table1[[#This Row],[Department_Region]]) - 1)</f>
        <v>HR</v>
      </c>
      <c r="P741" t="str">
        <f>RIGHT(Table1[[#This Row],[Department_Region]],LEN(Table1[[#This Row],[Department_Region]]) - FIND("-",Table1[[#This Row],[Department_Region]]))</f>
        <v>Nevada</v>
      </c>
      <c r="Q7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41" s="15"/>
    </row>
    <row r="742" spans="1:18" x14ac:dyDescent="0.2">
      <c r="A742" s="1">
        <v>740</v>
      </c>
      <c r="B742" s="6" t="s">
        <v>1272</v>
      </c>
      <c r="C742" t="s">
        <v>13</v>
      </c>
      <c r="D742" t="s">
        <v>14</v>
      </c>
      <c r="E742">
        <v>35</v>
      </c>
      <c r="F742" t="s">
        <v>269</v>
      </c>
      <c r="G742" t="s">
        <v>28</v>
      </c>
      <c r="H742" s="6" t="s">
        <v>1273</v>
      </c>
      <c r="I742" s="11">
        <v>63049.22</v>
      </c>
      <c r="J742" t="s">
        <v>17</v>
      </c>
      <c r="K742">
        <v>-803149981</v>
      </c>
      <c r="L742" t="s">
        <v>41</v>
      </c>
      <c r="M742" t="b">
        <v>1</v>
      </c>
      <c r="N742" s="17">
        <f t="shared" si="11"/>
        <v>44011</v>
      </c>
      <c r="O742" t="str">
        <f>LEFT(Table1[[#This Row],[Department_Region]], FIND("-", Table1[[#This Row],[Department_Region]]) - 1)</f>
        <v>Finance</v>
      </c>
      <c r="P742" t="str">
        <f>RIGHT(Table1[[#This Row],[Department_Region]],LEN(Table1[[#This Row],[Department_Region]]) - FIND("-",Table1[[#This Row],[Department_Region]]))</f>
        <v>Illinois</v>
      </c>
      <c r="Q7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2" s="15"/>
    </row>
    <row r="743" spans="1:18" x14ac:dyDescent="0.2">
      <c r="A743" s="1">
        <v>741</v>
      </c>
      <c r="B743" s="6" t="s">
        <v>1274</v>
      </c>
      <c r="C743" t="s">
        <v>65</v>
      </c>
      <c r="D743" t="s">
        <v>93</v>
      </c>
      <c r="E743">
        <v>32</v>
      </c>
      <c r="F743" t="s">
        <v>241</v>
      </c>
      <c r="G743" t="s">
        <v>16</v>
      </c>
      <c r="H743" s="6" t="s">
        <v>1275</v>
      </c>
      <c r="I743" s="11">
        <v>114558.91</v>
      </c>
      <c r="J743" t="s">
        <v>132</v>
      </c>
      <c r="K743">
        <v>-5080046357</v>
      </c>
      <c r="L743" t="s">
        <v>18</v>
      </c>
      <c r="M743" t="b">
        <v>0</v>
      </c>
      <c r="N743" s="17">
        <f t="shared" si="11"/>
        <v>44337</v>
      </c>
      <c r="O743" t="str">
        <f>LEFT(Table1[[#This Row],[Department_Region]], FIND("-", Table1[[#This Row],[Department_Region]]) - 1)</f>
        <v>DevOps</v>
      </c>
      <c r="P743" t="str">
        <f>RIGHT(Table1[[#This Row],[Department_Region]],LEN(Table1[[#This Row],[Department_Region]]) - FIND("-",Table1[[#This Row],[Department_Region]]))</f>
        <v>Texas</v>
      </c>
      <c r="Q7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3" s="15"/>
    </row>
    <row r="744" spans="1:18" x14ac:dyDescent="0.2">
      <c r="A744" s="1">
        <v>742</v>
      </c>
      <c r="B744" s="6" t="s">
        <v>1276</v>
      </c>
      <c r="C744" t="s">
        <v>65</v>
      </c>
      <c r="D744" t="s">
        <v>55</v>
      </c>
      <c r="E744">
        <v>40</v>
      </c>
      <c r="F744" t="s">
        <v>56</v>
      </c>
      <c r="G744" t="s">
        <v>16</v>
      </c>
      <c r="H744" s="6" t="s">
        <v>1277</v>
      </c>
      <c r="I744" s="11">
        <v>97901.79</v>
      </c>
      <c r="J744" t="s">
        <v>114</v>
      </c>
      <c r="K744">
        <v>-688285030</v>
      </c>
      <c r="L744" t="s">
        <v>18</v>
      </c>
      <c r="M744" t="b">
        <v>1</v>
      </c>
      <c r="N744" s="17">
        <f t="shared" si="11"/>
        <v>44541</v>
      </c>
      <c r="O744" t="str">
        <f>LEFT(Table1[[#This Row],[Department_Region]], FIND("-", Table1[[#This Row],[Department_Region]]) - 1)</f>
        <v>DevOps</v>
      </c>
      <c r="P744" t="str">
        <f>RIGHT(Table1[[#This Row],[Department_Region]],LEN(Table1[[#This Row],[Department_Region]]) - FIND("-",Table1[[#This Row],[Department_Region]]))</f>
        <v>New York</v>
      </c>
      <c r="Q7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4" s="15"/>
    </row>
    <row r="745" spans="1:18" x14ac:dyDescent="0.2">
      <c r="A745" s="1">
        <v>743</v>
      </c>
      <c r="B745" s="6" t="s">
        <v>1278</v>
      </c>
      <c r="C745" t="s">
        <v>32</v>
      </c>
      <c r="D745" t="s">
        <v>26</v>
      </c>
      <c r="E745">
        <v>30</v>
      </c>
      <c r="F745" t="s">
        <v>180</v>
      </c>
      <c r="G745" t="s">
        <v>16</v>
      </c>
      <c r="H745" s="6" t="s">
        <v>1886</v>
      </c>
      <c r="I745" s="11">
        <v>68037.56</v>
      </c>
      <c r="J745" t="s">
        <v>281</v>
      </c>
      <c r="K745">
        <v>-7235137398</v>
      </c>
      <c r="L745" t="s">
        <v>18</v>
      </c>
      <c r="M745" t="b">
        <v>0</v>
      </c>
      <c r="N745" s="17">
        <f t="shared" si="11"/>
        <v>45112</v>
      </c>
      <c r="O745" t="str">
        <f>LEFT(Table1[[#This Row],[Department_Region]], FIND("-", Table1[[#This Row],[Department_Region]]) - 1)</f>
        <v>Sales</v>
      </c>
      <c r="P745" t="str">
        <f>RIGHT(Table1[[#This Row],[Department_Region]],LEN(Table1[[#This Row],[Department_Region]]) - FIND("-",Table1[[#This Row],[Department_Region]]))</f>
        <v>California</v>
      </c>
      <c r="Q7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5" s="15"/>
    </row>
    <row r="746" spans="1:18" x14ac:dyDescent="0.2">
      <c r="A746" s="1">
        <v>744</v>
      </c>
      <c r="B746" s="6" t="s">
        <v>1279</v>
      </c>
      <c r="C746" t="s">
        <v>25</v>
      </c>
      <c r="D746" t="s">
        <v>38</v>
      </c>
      <c r="E746">
        <v>32</v>
      </c>
      <c r="F746" t="s">
        <v>66</v>
      </c>
      <c r="G746" t="s">
        <v>16</v>
      </c>
      <c r="H746" s="6" t="s">
        <v>1280</v>
      </c>
      <c r="I746" s="11">
        <v>112802.27</v>
      </c>
      <c r="J746" t="s">
        <v>368</v>
      </c>
      <c r="K746">
        <v>-63140351</v>
      </c>
      <c r="L746" t="s">
        <v>23</v>
      </c>
      <c r="M746" t="b">
        <v>0</v>
      </c>
      <c r="N746" s="17">
        <f t="shared" si="11"/>
        <v>44530</v>
      </c>
      <c r="O746" t="str">
        <f>LEFT(Table1[[#This Row],[Department_Region]], FIND("-", Table1[[#This Row],[Department_Region]]) - 1)</f>
        <v>HR</v>
      </c>
      <c r="P746" t="str">
        <f>RIGHT(Table1[[#This Row],[Department_Region]],LEN(Table1[[#This Row],[Department_Region]]) - FIND("-",Table1[[#This Row],[Department_Region]]))</f>
        <v>New York</v>
      </c>
      <c r="Q7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46" s="15"/>
    </row>
    <row r="747" spans="1:18" x14ac:dyDescent="0.2">
      <c r="A747" s="1">
        <v>745</v>
      </c>
      <c r="B747" s="6" t="s">
        <v>1281</v>
      </c>
      <c r="C747" t="s">
        <v>13</v>
      </c>
      <c r="D747" t="s">
        <v>55</v>
      </c>
      <c r="E747">
        <v>40</v>
      </c>
      <c r="F747" t="s">
        <v>222</v>
      </c>
      <c r="G747" t="s">
        <v>28</v>
      </c>
      <c r="H747" s="6" t="s">
        <v>342</v>
      </c>
      <c r="I747" s="11">
        <v>93786.72</v>
      </c>
      <c r="J747" t="s">
        <v>202</v>
      </c>
      <c r="K747">
        <v>-6356022938</v>
      </c>
      <c r="L747" t="s">
        <v>41</v>
      </c>
      <c r="M747" t="b">
        <v>0</v>
      </c>
      <c r="N747" s="17">
        <f t="shared" si="11"/>
        <v>45618</v>
      </c>
      <c r="O747" t="str">
        <f>LEFT(Table1[[#This Row],[Department_Region]], FIND("-", Table1[[#This Row],[Department_Region]]) - 1)</f>
        <v>Sales</v>
      </c>
      <c r="P747" t="str">
        <f>RIGHT(Table1[[#This Row],[Department_Region]],LEN(Table1[[#This Row],[Department_Region]]) - FIND("-",Table1[[#This Row],[Department_Region]]))</f>
        <v>Nevada</v>
      </c>
      <c r="Q7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7" s="15"/>
    </row>
    <row r="748" spans="1:18" x14ac:dyDescent="0.2">
      <c r="A748" s="1">
        <v>746</v>
      </c>
      <c r="B748" s="6" t="s">
        <v>1282</v>
      </c>
      <c r="C748" t="s">
        <v>59</v>
      </c>
      <c r="D748" t="s">
        <v>38</v>
      </c>
      <c r="E748">
        <v>32</v>
      </c>
      <c r="F748" t="s">
        <v>208</v>
      </c>
      <c r="G748" t="s">
        <v>33</v>
      </c>
      <c r="H748" s="6" t="s">
        <v>531</v>
      </c>
      <c r="I748" s="11">
        <v>73049.929999999993</v>
      </c>
      <c r="J748" t="s">
        <v>61</v>
      </c>
      <c r="K748">
        <v>-4694346065</v>
      </c>
      <c r="L748" t="s">
        <v>30</v>
      </c>
      <c r="M748" t="b">
        <v>0</v>
      </c>
      <c r="N748" s="17">
        <f t="shared" si="11"/>
        <v>45070</v>
      </c>
      <c r="O748" t="str">
        <f>LEFT(Table1[[#This Row],[Department_Region]], FIND("-", Table1[[#This Row],[Department_Region]]) - 1)</f>
        <v>Admin</v>
      </c>
      <c r="P748" t="str">
        <f>RIGHT(Table1[[#This Row],[Department_Region]],LEN(Table1[[#This Row],[Department_Region]]) - FIND("-",Table1[[#This Row],[Department_Region]]))</f>
        <v>Florida</v>
      </c>
      <c r="Q7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8" s="15"/>
    </row>
    <row r="749" spans="1:18" x14ac:dyDescent="0.2">
      <c r="A749" s="1">
        <v>747</v>
      </c>
      <c r="B749" s="6" t="s">
        <v>1283</v>
      </c>
      <c r="C749" t="s">
        <v>59</v>
      </c>
      <c r="D749" t="s">
        <v>14</v>
      </c>
      <c r="E749">
        <v>30</v>
      </c>
      <c r="F749" t="s">
        <v>99</v>
      </c>
      <c r="G749" t="s">
        <v>28</v>
      </c>
      <c r="H749" s="6" t="s">
        <v>1284</v>
      </c>
      <c r="I749" s="11">
        <v>64161.72</v>
      </c>
      <c r="J749" t="s">
        <v>63</v>
      </c>
      <c r="K749">
        <v>-6437490606</v>
      </c>
      <c r="L749" t="s">
        <v>23</v>
      </c>
      <c r="M749" t="b">
        <v>1</v>
      </c>
      <c r="N749" s="17">
        <f t="shared" si="11"/>
        <v>45469</v>
      </c>
      <c r="O749" t="str">
        <f>LEFT(Table1[[#This Row],[Department_Region]], FIND("-", Table1[[#This Row],[Department_Region]]) - 1)</f>
        <v>Sales</v>
      </c>
      <c r="P749" t="str">
        <f>RIGHT(Table1[[#This Row],[Department_Region]],LEN(Table1[[#This Row],[Department_Region]]) - FIND("-",Table1[[#This Row],[Department_Region]]))</f>
        <v>Illinois</v>
      </c>
      <c r="Q7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49" s="15"/>
    </row>
    <row r="750" spans="1:18" x14ac:dyDescent="0.2">
      <c r="A750" s="1">
        <v>748</v>
      </c>
      <c r="B750" s="6" t="s">
        <v>1285</v>
      </c>
      <c r="C750" t="s">
        <v>54</v>
      </c>
      <c r="D750" t="s">
        <v>124</v>
      </c>
      <c r="E750">
        <v>40</v>
      </c>
      <c r="F750" t="s">
        <v>27</v>
      </c>
      <c r="G750" t="s">
        <v>28</v>
      </c>
      <c r="H750" s="6" t="s">
        <v>1286</v>
      </c>
      <c r="I750" s="11">
        <v>72224.73</v>
      </c>
      <c r="J750" t="s">
        <v>197</v>
      </c>
      <c r="K750">
        <v>-2311127127</v>
      </c>
      <c r="L750" t="s">
        <v>18</v>
      </c>
      <c r="M750" t="b">
        <v>0</v>
      </c>
      <c r="N750" s="17">
        <f t="shared" si="11"/>
        <v>44154</v>
      </c>
      <c r="O750" t="str">
        <f>LEFT(Table1[[#This Row],[Department_Region]], FIND("-", Table1[[#This Row],[Department_Region]]) - 1)</f>
        <v>Admin</v>
      </c>
      <c r="P750" t="str">
        <f>RIGHT(Table1[[#This Row],[Department_Region]],LEN(Table1[[#This Row],[Department_Region]]) - FIND("-",Table1[[#This Row],[Department_Region]]))</f>
        <v>Nevada</v>
      </c>
      <c r="Q7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50" s="15"/>
    </row>
    <row r="751" spans="1:18" x14ac:dyDescent="0.2">
      <c r="A751" s="1">
        <v>749</v>
      </c>
      <c r="B751" s="6" t="s">
        <v>1287</v>
      </c>
      <c r="C751" t="s">
        <v>13</v>
      </c>
      <c r="D751" t="s">
        <v>55</v>
      </c>
      <c r="E751">
        <v>30</v>
      </c>
      <c r="F751" t="s">
        <v>66</v>
      </c>
      <c r="G751" t="s">
        <v>28</v>
      </c>
      <c r="H751" s="6" t="s">
        <v>1887</v>
      </c>
      <c r="I751" s="11">
        <v>103580.45</v>
      </c>
      <c r="J751" t="s">
        <v>202</v>
      </c>
      <c r="K751">
        <v>-5246484493</v>
      </c>
      <c r="L751" t="s">
        <v>23</v>
      </c>
      <c r="M751" t="b">
        <v>0</v>
      </c>
      <c r="N751" s="17">
        <f t="shared" si="11"/>
        <v>43891</v>
      </c>
      <c r="O751" t="str">
        <f>LEFT(Table1[[#This Row],[Department_Region]], FIND("-", Table1[[#This Row],[Department_Region]]) - 1)</f>
        <v>HR</v>
      </c>
      <c r="P751" t="str">
        <f>RIGHT(Table1[[#This Row],[Department_Region]],LEN(Table1[[#This Row],[Department_Region]]) - FIND("-",Table1[[#This Row],[Department_Region]]))</f>
        <v>New York</v>
      </c>
      <c r="Q7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51" s="15"/>
    </row>
    <row r="752" spans="1:18" x14ac:dyDescent="0.2">
      <c r="A752" s="1">
        <v>750</v>
      </c>
      <c r="B752" s="6" t="s">
        <v>1288</v>
      </c>
      <c r="C752" t="s">
        <v>69</v>
      </c>
      <c r="D752" t="s">
        <v>43</v>
      </c>
      <c r="E752">
        <v>40</v>
      </c>
      <c r="F752" t="s">
        <v>215</v>
      </c>
      <c r="G752" t="s">
        <v>28</v>
      </c>
      <c r="H752" s="6" t="s">
        <v>1884</v>
      </c>
      <c r="I752" s="11">
        <v>112589.11</v>
      </c>
      <c r="J752" t="s">
        <v>84</v>
      </c>
      <c r="K752">
        <v>-1163187327</v>
      </c>
      <c r="L752" t="s">
        <v>18</v>
      </c>
      <c r="M752" t="b">
        <v>0</v>
      </c>
      <c r="N752" s="17">
        <f t="shared" si="11"/>
        <v>45513</v>
      </c>
      <c r="O752" t="str">
        <f>LEFT(Table1[[#This Row],[Department_Region]], FIND("-", Table1[[#This Row],[Department_Region]]) - 1)</f>
        <v>HR</v>
      </c>
      <c r="P752" t="str">
        <f>RIGHT(Table1[[#This Row],[Department_Region]],LEN(Table1[[#This Row],[Department_Region]]) - FIND("-",Table1[[#This Row],[Department_Region]]))</f>
        <v>Florida</v>
      </c>
      <c r="Q7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52" s="15"/>
    </row>
    <row r="753" spans="1:18" x14ac:dyDescent="0.2">
      <c r="A753" s="1">
        <v>751</v>
      </c>
      <c r="B753" s="6" t="s">
        <v>1289</v>
      </c>
      <c r="C753" t="s">
        <v>32</v>
      </c>
      <c r="D753" t="s">
        <v>26</v>
      </c>
      <c r="E753">
        <v>30</v>
      </c>
      <c r="F753" t="s">
        <v>104</v>
      </c>
      <c r="G753" t="s">
        <v>16</v>
      </c>
      <c r="H753" s="6" t="s">
        <v>1290</v>
      </c>
      <c r="I753" s="11">
        <v>51833.88</v>
      </c>
      <c r="J753" t="s">
        <v>281</v>
      </c>
      <c r="K753">
        <v>-771130620</v>
      </c>
      <c r="L753" t="s">
        <v>18</v>
      </c>
      <c r="M753" t="b">
        <v>1</v>
      </c>
      <c r="N753" s="17">
        <f t="shared" si="11"/>
        <v>44209</v>
      </c>
      <c r="O753" t="str">
        <f>LEFT(Table1[[#This Row],[Department_Region]], FIND("-", Table1[[#This Row],[Department_Region]]) - 1)</f>
        <v>Admin</v>
      </c>
      <c r="P753" t="str">
        <f>RIGHT(Table1[[#This Row],[Department_Region]],LEN(Table1[[#This Row],[Department_Region]]) - FIND("-",Table1[[#This Row],[Department_Region]]))</f>
        <v>Texas</v>
      </c>
      <c r="Q7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53" s="15"/>
    </row>
    <row r="754" spans="1:18" x14ac:dyDescent="0.2">
      <c r="A754" s="1">
        <v>752</v>
      </c>
      <c r="B754" s="6" t="s">
        <v>1291</v>
      </c>
      <c r="C754" t="s">
        <v>32</v>
      </c>
      <c r="D754" t="s">
        <v>55</v>
      </c>
      <c r="E754">
        <v>32</v>
      </c>
      <c r="F754" t="s">
        <v>99</v>
      </c>
      <c r="G754" t="s">
        <v>16</v>
      </c>
      <c r="H754" s="6" t="s">
        <v>1737</v>
      </c>
      <c r="I754" s="11">
        <v>66252.78</v>
      </c>
      <c r="J754" t="s">
        <v>327</v>
      </c>
      <c r="K754">
        <v>-1369572789</v>
      </c>
      <c r="L754" t="s">
        <v>23</v>
      </c>
      <c r="M754" t="b">
        <v>1</v>
      </c>
      <c r="N754" s="17">
        <f t="shared" si="11"/>
        <v>45052</v>
      </c>
      <c r="O754" t="str">
        <f>LEFT(Table1[[#This Row],[Department_Region]], FIND("-", Table1[[#This Row],[Department_Region]]) - 1)</f>
        <v>Sales</v>
      </c>
      <c r="P754" t="str">
        <f>RIGHT(Table1[[#This Row],[Department_Region]],LEN(Table1[[#This Row],[Department_Region]]) - FIND("-",Table1[[#This Row],[Department_Region]]))</f>
        <v>Illinois</v>
      </c>
      <c r="Q7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54" s="15"/>
    </row>
    <row r="755" spans="1:18" x14ac:dyDescent="0.2">
      <c r="A755" s="1">
        <v>753</v>
      </c>
      <c r="B755" s="6" t="s">
        <v>1292</v>
      </c>
      <c r="C755" t="s">
        <v>37</v>
      </c>
      <c r="D755" t="s">
        <v>55</v>
      </c>
      <c r="E755">
        <v>25</v>
      </c>
      <c r="F755" t="s">
        <v>233</v>
      </c>
      <c r="G755" t="s">
        <v>16</v>
      </c>
      <c r="H755" s="6" t="s">
        <v>1293</v>
      </c>
      <c r="I755" s="11">
        <v>109229.68</v>
      </c>
      <c r="J755" t="s">
        <v>275</v>
      </c>
      <c r="K755">
        <v>-8335090253</v>
      </c>
      <c r="L755" t="s">
        <v>41</v>
      </c>
      <c r="M755" t="b">
        <v>1</v>
      </c>
      <c r="N755" s="17">
        <f t="shared" si="11"/>
        <v>44859</v>
      </c>
      <c r="O755" t="str">
        <f>LEFT(Table1[[#This Row],[Department_Region]], FIND("-", Table1[[#This Row],[Department_Region]]) - 1)</f>
        <v>DevOps</v>
      </c>
      <c r="P755" t="str">
        <f>RIGHT(Table1[[#This Row],[Department_Region]],LEN(Table1[[#This Row],[Department_Region]]) - FIND("-",Table1[[#This Row],[Department_Region]]))</f>
        <v>Florida</v>
      </c>
      <c r="Q7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55" s="15"/>
    </row>
    <row r="756" spans="1:18" x14ac:dyDescent="0.2">
      <c r="A756" s="1">
        <v>754</v>
      </c>
      <c r="B756" s="6" t="s">
        <v>1294</v>
      </c>
      <c r="C756" t="s">
        <v>37</v>
      </c>
      <c r="D756" t="s">
        <v>55</v>
      </c>
      <c r="E756">
        <v>30</v>
      </c>
      <c r="F756" t="s">
        <v>113</v>
      </c>
      <c r="G756" t="s">
        <v>33</v>
      </c>
      <c r="H756" s="6" t="s">
        <v>1888</v>
      </c>
      <c r="I756" s="11">
        <v>61465.05</v>
      </c>
      <c r="J756" t="s">
        <v>275</v>
      </c>
      <c r="K756">
        <v>-2573066247</v>
      </c>
      <c r="L756" t="s">
        <v>18</v>
      </c>
      <c r="M756" t="b">
        <v>0</v>
      </c>
      <c r="N756" s="17">
        <f t="shared" si="11"/>
        <v>44112</v>
      </c>
      <c r="O756" t="str">
        <f>LEFT(Table1[[#This Row],[Department_Region]], FIND("-", Table1[[#This Row],[Department_Region]]) - 1)</f>
        <v>Finance</v>
      </c>
      <c r="P756" t="str">
        <f>RIGHT(Table1[[#This Row],[Department_Region]],LEN(Table1[[#This Row],[Department_Region]]) - FIND("-",Table1[[#This Row],[Department_Region]]))</f>
        <v>Florida</v>
      </c>
      <c r="Q7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56" s="15"/>
    </row>
    <row r="757" spans="1:18" x14ac:dyDescent="0.2">
      <c r="A757" s="1">
        <v>755</v>
      </c>
      <c r="B757" s="6" t="s">
        <v>1295</v>
      </c>
      <c r="C757" t="s">
        <v>69</v>
      </c>
      <c r="D757" t="s">
        <v>93</v>
      </c>
      <c r="E757">
        <v>25</v>
      </c>
      <c r="F757" t="s">
        <v>215</v>
      </c>
      <c r="G757" t="s">
        <v>16</v>
      </c>
      <c r="H757" s="6" t="s">
        <v>1296</v>
      </c>
      <c r="I757" s="11">
        <v>96993.74</v>
      </c>
      <c r="J757" t="s">
        <v>170</v>
      </c>
      <c r="K757">
        <v>-1323570712</v>
      </c>
      <c r="L757" t="s">
        <v>41</v>
      </c>
      <c r="M757" t="b">
        <v>0</v>
      </c>
      <c r="N757" s="17">
        <f t="shared" si="11"/>
        <v>45351</v>
      </c>
      <c r="O757" t="str">
        <f>LEFT(Table1[[#This Row],[Department_Region]], FIND("-", Table1[[#This Row],[Department_Region]]) - 1)</f>
        <v>HR</v>
      </c>
      <c r="P757" t="str">
        <f>RIGHT(Table1[[#This Row],[Department_Region]],LEN(Table1[[#This Row],[Department_Region]]) - FIND("-",Table1[[#This Row],[Department_Region]]))</f>
        <v>Florida</v>
      </c>
      <c r="Q7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57" s="15"/>
    </row>
    <row r="758" spans="1:18" x14ac:dyDescent="0.2">
      <c r="A758" s="1">
        <v>756</v>
      </c>
      <c r="B758" s="6" t="s">
        <v>1297</v>
      </c>
      <c r="C758" t="s">
        <v>59</v>
      </c>
      <c r="D758" t="s">
        <v>55</v>
      </c>
      <c r="E758">
        <v>25</v>
      </c>
      <c r="F758" t="s">
        <v>208</v>
      </c>
      <c r="G758" t="s">
        <v>28</v>
      </c>
      <c r="H758" s="6" t="s">
        <v>1298</v>
      </c>
      <c r="I758" s="11">
        <v>98150.39</v>
      </c>
      <c r="J758" t="s">
        <v>220</v>
      </c>
      <c r="K758">
        <v>-9848228500</v>
      </c>
      <c r="L758" t="s">
        <v>30</v>
      </c>
      <c r="M758" t="b">
        <v>1</v>
      </c>
      <c r="N758" s="17">
        <f t="shared" si="11"/>
        <v>44834</v>
      </c>
      <c r="O758" t="str">
        <f>LEFT(Table1[[#This Row],[Department_Region]], FIND("-", Table1[[#This Row],[Department_Region]]) - 1)</f>
        <v>Admin</v>
      </c>
      <c r="P758" t="str">
        <f>RIGHT(Table1[[#This Row],[Department_Region]],LEN(Table1[[#This Row],[Department_Region]]) - FIND("-",Table1[[#This Row],[Department_Region]]))</f>
        <v>Florida</v>
      </c>
      <c r="Q7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58" s="15"/>
    </row>
    <row r="759" spans="1:18" x14ac:dyDescent="0.2">
      <c r="A759" s="1">
        <v>757</v>
      </c>
      <c r="B759" s="6" t="s">
        <v>1299</v>
      </c>
      <c r="C759" t="s">
        <v>59</v>
      </c>
      <c r="D759" t="s">
        <v>38</v>
      </c>
      <c r="E759">
        <v>40</v>
      </c>
      <c r="F759" t="s">
        <v>21</v>
      </c>
      <c r="G759" t="s">
        <v>28</v>
      </c>
      <c r="H759" s="6" t="s">
        <v>1300</v>
      </c>
      <c r="I759" s="11">
        <v>107703</v>
      </c>
      <c r="J759" t="s">
        <v>61</v>
      </c>
      <c r="K759">
        <v>-1688092549</v>
      </c>
      <c r="L759" t="s">
        <v>18</v>
      </c>
      <c r="M759" t="b">
        <v>0</v>
      </c>
      <c r="N759" s="17">
        <f t="shared" si="11"/>
        <v>45336</v>
      </c>
      <c r="O759" t="str">
        <f>LEFT(Table1[[#This Row],[Department_Region]], FIND("-", Table1[[#This Row],[Department_Region]]) - 1)</f>
        <v>Finance</v>
      </c>
      <c r="P759" t="str">
        <f>RIGHT(Table1[[#This Row],[Department_Region]],LEN(Table1[[#This Row],[Department_Region]]) - FIND("-",Table1[[#This Row],[Department_Region]]))</f>
        <v>Texas</v>
      </c>
      <c r="Q7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59" s="15"/>
    </row>
    <row r="760" spans="1:18" x14ac:dyDescent="0.2">
      <c r="A760" s="1">
        <v>758</v>
      </c>
      <c r="B760" s="6" t="s">
        <v>1301</v>
      </c>
      <c r="C760" t="s">
        <v>69</v>
      </c>
      <c r="D760" t="s">
        <v>124</v>
      </c>
      <c r="E760">
        <v>32</v>
      </c>
      <c r="F760" t="s">
        <v>79</v>
      </c>
      <c r="G760" t="s">
        <v>28</v>
      </c>
      <c r="H760" s="6" t="s">
        <v>1889</v>
      </c>
      <c r="I760" s="11">
        <v>86766.14</v>
      </c>
      <c r="J760" t="s">
        <v>137</v>
      </c>
      <c r="K760">
        <v>-2130609068</v>
      </c>
      <c r="L760" t="s">
        <v>41</v>
      </c>
      <c r="M760" t="b">
        <v>1</v>
      </c>
      <c r="N760" s="17">
        <f t="shared" si="11"/>
        <v>44929</v>
      </c>
      <c r="O760" t="str">
        <f>LEFT(Table1[[#This Row],[Department_Region]], FIND("-", Table1[[#This Row],[Department_Region]]) - 1)</f>
        <v>DevOps</v>
      </c>
      <c r="P760" t="str">
        <f>RIGHT(Table1[[#This Row],[Department_Region]],LEN(Table1[[#This Row],[Department_Region]]) - FIND("-",Table1[[#This Row],[Department_Region]]))</f>
        <v>Illinois</v>
      </c>
      <c r="Q7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0" s="15"/>
    </row>
    <row r="761" spans="1:18" x14ac:dyDescent="0.2">
      <c r="A761" s="1">
        <v>759</v>
      </c>
      <c r="B761" s="6" t="s">
        <v>1302</v>
      </c>
      <c r="C761" t="s">
        <v>25</v>
      </c>
      <c r="D761" t="s">
        <v>14</v>
      </c>
      <c r="E761">
        <v>32</v>
      </c>
      <c r="F761" t="s">
        <v>39</v>
      </c>
      <c r="G761" t="s">
        <v>33</v>
      </c>
      <c r="H761" s="6" t="s">
        <v>594</v>
      </c>
      <c r="I761" s="11">
        <v>111443.69</v>
      </c>
      <c r="J761" t="s">
        <v>165</v>
      </c>
      <c r="K761">
        <v>-1309810795</v>
      </c>
      <c r="L761" t="s">
        <v>41</v>
      </c>
      <c r="M761" t="b">
        <v>1</v>
      </c>
      <c r="N761" s="17">
        <f t="shared" si="11"/>
        <v>45524</v>
      </c>
      <c r="O761" t="str">
        <f>LEFT(Table1[[#This Row],[Department_Region]], FIND("-", Table1[[#This Row],[Department_Region]]) - 1)</f>
        <v>Cloud Tech</v>
      </c>
      <c r="P761" t="str">
        <f>RIGHT(Table1[[#This Row],[Department_Region]],LEN(Table1[[#This Row],[Department_Region]]) - FIND("-",Table1[[#This Row],[Department_Region]]))</f>
        <v>Florida</v>
      </c>
      <c r="Q7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1" s="15"/>
    </row>
    <row r="762" spans="1:18" x14ac:dyDescent="0.2">
      <c r="A762" s="1">
        <v>760</v>
      </c>
      <c r="B762" s="6" t="s">
        <v>1303</v>
      </c>
      <c r="C762" t="s">
        <v>59</v>
      </c>
      <c r="D762" t="s">
        <v>20</v>
      </c>
      <c r="E762">
        <v>32</v>
      </c>
      <c r="F762" t="s">
        <v>75</v>
      </c>
      <c r="G762" t="s">
        <v>28</v>
      </c>
      <c r="H762" s="6" t="s">
        <v>447</v>
      </c>
      <c r="I762" s="11">
        <v>89039.07</v>
      </c>
      <c r="J762" t="s">
        <v>228</v>
      </c>
      <c r="K762">
        <v>-4967379456</v>
      </c>
      <c r="L762" t="s">
        <v>30</v>
      </c>
      <c r="M762" t="b">
        <v>0</v>
      </c>
      <c r="N762" s="17">
        <f t="shared" si="11"/>
        <v>43911</v>
      </c>
      <c r="O762" t="str">
        <f>LEFT(Table1[[#This Row],[Department_Region]], FIND("-", Table1[[#This Row],[Department_Region]]) - 1)</f>
        <v>Sales</v>
      </c>
      <c r="P762" t="str">
        <f>RIGHT(Table1[[#This Row],[Department_Region]],LEN(Table1[[#This Row],[Department_Region]]) - FIND("-",Table1[[#This Row],[Department_Region]]))</f>
        <v>Florida</v>
      </c>
      <c r="Q7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2" s="15"/>
    </row>
    <row r="763" spans="1:18" x14ac:dyDescent="0.2">
      <c r="A763" s="1">
        <v>761</v>
      </c>
      <c r="B763" s="6" t="s">
        <v>1304</v>
      </c>
      <c r="C763" t="s">
        <v>25</v>
      </c>
      <c r="D763" t="s">
        <v>55</v>
      </c>
      <c r="E763">
        <v>30</v>
      </c>
      <c r="F763" t="s">
        <v>215</v>
      </c>
      <c r="G763" t="s">
        <v>33</v>
      </c>
      <c r="H763" s="6" t="s">
        <v>1305</v>
      </c>
      <c r="I763" s="11">
        <v>71318.789999999994</v>
      </c>
      <c r="J763" t="s">
        <v>152</v>
      </c>
      <c r="K763">
        <v>-7278532425</v>
      </c>
      <c r="L763" t="s">
        <v>41</v>
      </c>
      <c r="M763" t="b">
        <v>0</v>
      </c>
      <c r="N763" s="17">
        <f t="shared" si="11"/>
        <v>45642</v>
      </c>
      <c r="O763" t="str">
        <f>LEFT(Table1[[#This Row],[Department_Region]], FIND("-", Table1[[#This Row],[Department_Region]]) - 1)</f>
        <v>HR</v>
      </c>
      <c r="P763" t="str">
        <f>RIGHT(Table1[[#This Row],[Department_Region]],LEN(Table1[[#This Row],[Department_Region]]) - FIND("-",Table1[[#This Row],[Department_Region]]))</f>
        <v>Florida</v>
      </c>
      <c r="Q7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3" s="15"/>
    </row>
    <row r="764" spans="1:18" x14ac:dyDescent="0.2">
      <c r="A764" s="1">
        <v>762</v>
      </c>
      <c r="B764" s="6" t="s">
        <v>1306</v>
      </c>
      <c r="C764" t="s">
        <v>65</v>
      </c>
      <c r="D764" t="s">
        <v>26</v>
      </c>
      <c r="E764">
        <v>30</v>
      </c>
      <c r="F764" t="s">
        <v>70</v>
      </c>
      <c r="G764" t="s">
        <v>28</v>
      </c>
      <c r="H764" s="6" t="s">
        <v>1307</v>
      </c>
      <c r="I764" s="11">
        <v>98296.71</v>
      </c>
      <c r="J764" t="s">
        <v>324</v>
      </c>
      <c r="K764">
        <v>-4250642075</v>
      </c>
      <c r="L764" t="s">
        <v>41</v>
      </c>
      <c r="M764" t="b">
        <v>0</v>
      </c>
      <c r="N764" s="17">
        <f t="shared" si="11"/>
        <v>43942</v>
      </c>
      <c r="O764" t="str">
        <f>LEFT(Table1[[#This Row],[Department_Region]], FIND("-", Table1[[#This Row],[Department_Region]]) - 1)</f>
        <v>Finance</v>
      </c>
      <c r="P764" t="str">
        <f>RIGHT(Table1[[#This Row],[Department_Region]],LEN(Table1[[#This Row],[Department_Region]]) - FIND("-",Table1[[#This Row],[Department_Region]]))</f>
        <v>California</v>
      </c>
      <c r="Q7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4" s="15"/>
    </row>
    <row r="765" spans="1:18" x14ac:dyDescent="0.2">
      <c r="A765" s="1">
        <v>763</v>
      </c>
      <c r="B765" s="6" t="s">
        <v>1308</v>
      </c>
      <c r="C765" t="s">
        <v>65</v>
      </c>
      <c r="D765" t="s">
        <v>55</v>
      </c>
      <c r="E765">
        <v>40</v>
      </c>
      <c r="F765" t="s">
        <v>86</v>
      </c>
      <c r="G765" t="s">
        <v>28</v>
      </c>
      <c r="H765" s="6" t="s">
        <v>1309</v>
      </c>
      <c r="I765" s="11">
        <v>62584</v>
      </c>
      <c r="J765" t="s">
        <v>114</v>
      </c>
      <c r="K765">
        <v>-8362536666</v>
      </c>
      <c r="L765" t="s">
        <v>30</v>
      </c>
      <c r="M765" t="b">
        <v>0</v>
      </c>
      <c r="N765" s="17">
        <f t="shared" si="11"/>
        <v>44062</v>
      </c>
      <c r="O765" t="str">
        <f>LEFT(Table1[[#This Row],[Department_Region]], FIND("-", Table1[[#This Row],[Department_Region]]) - 1)</f>
        <v>Cloud Tech</v>
      </c>
      <c r="P765" t="str">
        <f>RIGHT(Table1[[#This Row],[Department_Region]],LEN(Table1[[#This Row],[Department_Region]]) - FIND("-",Table1[[#This Row],[Department_Region]]))</f>
        <v>Nevada</v>
      </c>
      <c r="Q7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65" s="15"/>
    </row>
    <row r="766" spans="1:18" x14ac:dyDescent="0.2">
      <c r="A766" s="1">
        <v>764</v>
      </c>
      <c r="B766" s="6" t="s">
        <v>1310</v>
      </c>
      <c r="C766" t="s">
        <v>54</v>
      </c>
      <c r="D766" t="s">
        <v>26</v>
      </c>
      <c r="E766">
        <v>40</v>
      </c>
      <c r="F766" t="s">
        <v>70</v>
      </c>
      <c r="G766" t="s">
        <v>33</v>
      </c>
      <c r="H766" s="6" t="s">
        <v>1311</v>
      </c>
      <c r="I766" s="11">
        <v>62521.5</v>
      </c>
      <c r="J766" t="s">
        <v>122</v>
      </c>
      <c r="K766">
        <v>-7767555627</v>
      </c>
      <c r="L766" t="s">
        <v>18</v>
      </c>
      <c r="M766" t="b">
        <v>1</v>
      </c>
      <c r="N766" s="17">
        <f t="shared" si="11"/>
        <v>43882</v>
      </c>
      <c r="O766" t="str">
        <f>LEFT(Table1[[#This Row],[Department_Region]], FIND("-", Table1[[#This Row],[Department_Region]]) - 1)</f>
        <v>Finance</v>
      </c>
      <c r="P766" t="str">
        <f>RIGHT(Table1[[#This Row],[Department_Region]],LEN(Table1[[#This Row],[Department_Region]]) - FIND("-",Table1[[#This Row],[Department_Region]]))</f>
        <v>California</v>
      </c>
      <c r="Q7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6" s="15"/>
    </row>
    <row r="767" spans="1:18" x14ac:dyDescent="0.2">
      <c r="A767" s="1">
        <v>765</v>
      </c>
      <c r="B767" s="6" t="s">
        <v>1312</v>
      </c>
      <c r="C767" t="s">
        <v>59</v>
      </c>
      <c r="D767" t="s">
        <v>38</v>
      </c>
      <c r="E767">
        <v>40</v>
      </c>
      <c r="F767" t="s">
        <v>272</v>
      </c>
      <c r="G767" t="s">
        <v>33</v>
      </c>
      <c r="H767" s="6" t="s">
        <v>1313</v>
      </c>
      <c r="I767" s="11">
        <v>95400.35</v>
      </c>
      <c r="J767" t="s">
        <v>61</v>
      </c>
      <c r="K767">
        <v>-3333939577</v>
      </c>
      <c r="L767" t="s">
        <v>41</v>
      </c>
      <c r="M767" t="b">
        <v>1</v>
      </c>
      <c r="N767" s="17">
        <f t="shared" si="11"/>
        <v>45247</v>
      </c>
      <c r="O767" t="str">
        <f>LEFT(Table1[[#This Row],[Department_Region]], FIND("-", Table1[[#This Row],[Department_Region]]) - 1)</f>
        <v>Cloud Tech</v>
      </c>
      <c r="P767" t="str">
        <f>RIGHT(Table1[[#This Row],[Department_Region]],LEN(Table1[[#This Row],[Department_Region]]) - FIND("-",Table1[[#This Row],[Department_Region]]))</f>
        <v>California</v>
      </c>
      <c r="Q7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7" s="15"/>
    </row>
    <row r="768" spans="1:18" x14ac:dyDescent="0.2">
      <c r="A768" s="1">
        <v>766</v>
      </c>
      <c r="B768" s="6" t="s">
        <v>1314</v>
      </c>
      <c r="C768" t="s">
        <v>54</v>
      </c>
      <c r="D768" t="s">
        <v>26</v>
      </c>
      <c r="E768">
        <v>25</v>
      </c>
      <c r="F768" t="s">
        <v>161</v>
      </c>
      <c r="G768" t="s">
        <v>28</v>
      </c>
      <c r="H768" s="6" t="s">
        <v>1890</v>
      </c>
      <c r="I768" s="11">
        <v>94385.07</v>
      </c>
      <c r="J768" t="s">
        <v>122</v>
      </c>
      <c r="K768">
        <v>-6543627186</v>
      </c>
      <c r="L768" t="s">
        <v>41</v>
      </c>
      <c r="M768" t="b">
        <v>1</v>
      </c>
      <c r="N768" s="17">
        <f t="shared" si="11"/>
        <v>44751</v>
      </c>
      <c r="O768" t="str">
        <f>LEFT(Table1[[#This Row],[Department_Region]], FIND("-", Table1[[#This Row],[Department_Region]]) - 1)</f>
        <v>Cloud Tech</v>
      </c>
      <c r="P768" t="str">
        <f>RIGHT(Table1[[#This Row],[Department_Region]],LEN(Table1[[#This Row],[Department_Region]]) - FIND("-",Table1[[#This Row],[Department_Region]]))</f>
        <v>Texas</v>
      </c>
      <c r="Q7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8" s="15"/>
    </row>
    <row r="769" spans="1:18" x14ac:dyDescent="0.2">
      <c r="A769" s="1">
        <v>767</v>
      </c>
      <c r="B769" s="6" t="s">
        <v>1315</v>
      </c>
      <c r="C769" t="s">
        <v>69</v>
      </c>
      <c r="D769" t="s">
        <v>43</v>
      </c>
      <c r="E769">
        <v>32</v>
      </c>
      <c r="F769" t="s">
        <v>110</v>
      </c>
      <c r="G769" t="s">
        <v>33</v>
      </c>
      <c r="H769" s="6" t="s">
        <v>1784</v>
      </c>
      <c r="I769" s="11">
        <v>76642.490000000005</v>
      </c>
      <c r="J769" t="s">
        <v>84</v>
      </c>
      <c r="K769">
        <v>-4960335825</v>
      </c>
      <c r="L769" t="s">
        <v>41</v>
      </c>
      <c r="M769" t="b">
        <v>1</v>
      </c>
      <c r="N769" s="17">
        <f t="shared" si="11"/>
        <v>44958</v>
      </c>
      <c r="O769" t="str">
        <f>LEFT(Table1[[#This Row],[Department_Region]], FIND("-", Table1[[#This Row],[Department_Region]]) - 1)</f>
        <v>Sales</v>
      </c>
      <c r="P769" t="str">
        <f>RIGHT(Table1[[#This Row],[Department_Region]],LEN(Table1[[#This Row],[Department_Region]]) - FIND("-",Table1[[#This Row],[Department_Region]]))</f>
        <v>New York</v>
      </c>
      <c r="Q7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69" s="15"/>
    </row>
    <row r="770" spans="1:18" x14ac:dyDescent="0.2">
      <c r="A770" s="1">
        <v>768</v>
      </c>
      <c r="B770" s="6" t="s">
        <v>1316</v>
      </c>
      <c r="C770" t="s">
        <v>37</v>
      </c>
      <c r="D770" t="s">
        <v>20</v>
      </c>
      <c r="E770">
        <v>32</v>
      </c>
      <c r="F770" t="s">
        <v>56</v>
      </c>
      <c r="G770" t="s">
        <v>16</v>
      </c>
      <c r="H770" s="6" t="s">
        <v>1317</v>
      </c>
      <c r="I770" s="11">
        <v>60122.52</v>
      </c>
      <c r="J770" t="s">
        <v>243</v>
      </c>
      <c r="K770">
        <v>-8627036923</v>
      </c>
      <c r="L770" t="s">
        <v>23</v>
      </c>
      <c r="M770" t="b">
        <v>1</v>
      </c>
      <c r="N770" s="17">
        <f t="shared" ref="N770:N833" si="12">IF(ISNUMBER(H770), H770, DATE(RIGHT(H770, 4), LEFT(H770, FIND("/", H770) - 1), MID(H770, FIND("/", H770) + 1, FIND("/", H770, FIND("/", H770) + 1) - FIND("/", H770) - 1)))</f>
        <v>45610</v>
      </c>
      <c r="O770" t="str">
        <f>LEFT(Table1[[#This Row],[Department_Region]], FIND("-", Table1[[#This Row],[Department_Region]]) - 1)</f>
        <v>DevOps</v>
      </c>
      <c r="P770" t="str">
        <f>RIGHT(Table1[[#This Row],[Department_Region]],LEN(Table1[[#This Row],[Department_Region]]) - FIND("-",Table1[[#This Row],[Department_Region]]))</f>
        <v>New York</v>
      </c>
      <c r="Q7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70" s="15"/>
    </row>
    <row r="771" spans="1:18" x14ac:dyDescent="0.2">
      <c r="A771" s="1">
        <v>769</v>
      </c>
      <c r="B771" s="6" t="s">
        <v>1318</v>
      </c>
      <c r="C771" t="s">
        <v>25</v>
      </c>
      <c r="D771" t="s">
        <v>124</v>
      </c>
      <c r="E771">
        <v>40</v>
      </c>
      <c r="F771" t="s">
        <v>148</v>
      </c>
      <c r="G771" t="s">
        <v>28</v>
      </c>
      <c r="H771" s="6" t="s">
        <v>80</v>
      </c>
      <c r="I771" s="11">
        <v>117267.63</v>
      </c>
      <c r="J771" t="s">
        <v>185</v>
      </c>
      <c r="K771">
        <v>-9269326572</v>
      </c>
      <c r="L771" t="s">
        <v>30</v>
      </c>
      <c r="M771" t="b">
        <v>0</v>
      </c>
      <c r="N771" s="17">
        <f t="shared" si="12"/>
        <v>45405</v>
      </c>
      <c r="O771" t="str">
        <f>LEFT(Table1[[#This Row],[Department_Region]], FIND("-", Table1[[#This Row],[Department_Region]]) - 1)</f>
        <v>HR</v>
      </c>
      <c r="P771" t="str">
        <f>RIGHT(Table1[[#This Row],[Department_Region]],LEN(Table1[[#This Row],[Department_Region]]) - FIND("-",Table1[[#This Row],[Department_Region]]))</f>
        <v>California</v>
      </c>
      <c r="Q7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71" s="15"/>
    </row>
    <row r="772" spans="1:18" x14ac:dyDescent="0.2">
      <c r="A772" s="1">
        <v>770</v>
      </c>
      <c r="B772" s="6" t="s">
        <v>1319</v>
      </c>
      <c r="C772" t="s">
        <v>54</v>
      </c>
      <c r="D772" t="s">
        <v>26</v>
      </c>
      <c r="E772">
        <v>25</v>
      </c>
      <c r="F772" t="s">
        <v>199</v>
      </c>
      <c r="G772" t="s">
        <v>16</v>
      </c>
      <c r="H772" s="6" t="s">
        <v>1320</v>
      </c>
      <c r="I772" s="11">
        <v>85165.05</v>
      </c>
      <c r="J772" t="s">
        <v>122</v>
      </c>
      <c r="K772">
        <v>-2759980110</v>
      </c>
      <c r="L772" t="s">
        <v>23</v>
      </c>
      <c r="M772" t="b">
        <v>1</v>
      </c>
      <c r="N772" s="17">
        <f t="shared" si="12"/>
        <v>45106</v>
      </c>
      <c r="O772" t="str">
        <f>LEFT(Table1[[#This Row],[Department_Region]], FIND("-", Table1[[#This Row],[Department_Region]]) - 1)</f>
        <v>Admin</v>
      </c>
      <c r="P772" t="str">
        <f>RIGHT(Table1[[#This Row],[Department_Region]],LEN(Table1[[#This Row],[Department_Region]]) - FIND("-",Table1[[#This Row],[Department_Region]]))</f>
        <v>New York</v>
      </c>
      <c r="Q7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72" s="15"/>
    </row>
    <row r="773" spans="1:18" x14ac:dyDescent="0.2">
      <c r="A773" s="1">
        <v>771</v>
      </c>
      <c r="B773" s="6" t="s">
        <v>1321</v>
      </c>
      <c r="C773" t="s">
        <v>65</v>
      </c>
      <c r="D773" t="s">
        <v>26</v>
      </c>
      <c r="E773">
        <v>40</v>
      </c>
      <c r="F773" t="s">
        <v>44</v>
      </c>
      <c r="G773" t="s">
        <v>28</v>
      </c>
      <c r="H773" s="6" t="s">
        <v>1322</v>
      </c>
      <c r="I773" s="11">
        <v>84542.68</v>
      </c>
      <c r="J773" t="s">
        <v>324</v>
      </c>
      <c r="K773">
        <v>-5155322</v>
      </c>
      <c r="L773" t="s">
        <v>30</v>
      </c>
      <c r="M773" t="b">
        <v>1</v>
      </c>
      <c r="N773" s="17">
        <f t="shared" si="12"/>
        <v>45638</v>
      </c>
      <c r="O773" t="str">
        <f>LEFT(Table1[[#This Row],[Department_Region]], FIND("-", Table1[[#This Row],[Department_Region]]) - 1)</f>
        <v>Sales</v>
      </c>
      <c r="P773" t="str">
        <f>RIGHT(Table1[[#This Row],[Department_Region]],LEN(Table1[[#This Row],[Department_Region]]) - FIND("-",Table1[[#This Row],[Department_Region]]))</f>
        <v>Texas</v>
      </c>
      <c r="Q7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73" s="15"/>
    </row>
    <row r="774" spans="1:18" x14ac:dyDescent="0.2">
      <c r="A774" s="1">
        <v>772</v>
      </c>
      <c r="B774" s="6" t="s">
        <v>1323</v>
      </c>
      <c r="C774" t="s">
        <v>65</v>
      </c>
      <c r="D774" t="s">
        <v>124</v>
      </c>
      <c r="E774">
        <v>40</v>
      </c>
      <c r="F774" t="s">
        <v>113</v>
      </c>
      <c r="G774" t="s">
        <v>16</v>
      </c>
      <c r="H774" s="6" t="s">
        <v>911</v>
      </c>
      <c r="I774" s="11">
        <v>92007.15</v>
      </c>
      <c r="J774" t="s">
        <v>372</v>
      </c>
      <c r="K774">
        <v>-4159597751</v>
      </c>
      <c r="L774" t="s">
        <v>18</v>
      </c>
      <c r="M774" t="b">
        <v>1</v>
      </c>
      <c r="N774" s="17">
        <f t="shared" si="12"/>
        <v>45062</v>
      </c>
      <c r="O774" t="str">
        <f>LEFT(Table1[[#This Row],[Department_Region]], FIND("-", Table1[[#This Row],[Department_Region]]) - 1)</f>
        <v>Finance</v>
      </c>
      <c r="P774" t="str">
        <f>RIGHT(Table1[[#This Row],[Department_Region]],LEN(Table1[[#This Row],[Department_Region]]) - FIND("-",Table1[[#This Row],[Department_Region]]))</f>
        <v>Florida</v>
      </c>
      <c r="Q7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74" s="15"/>
    </row>
    <row r="775" spans="1:18" x14ac:dyDescent="0.2">
      <c r="A775" s="1">
        <v>773</v>
      </c>
      <c r="B775" s="6" t="s">
        <v>1324</v>
      </c>
      <c r="C775" t="s">
        <v>32</v>
      </c>
      <c r="D775" t="s">
        <v>20</v>
      </c>
      <c r="E775">
        <v>32</v>
      </c>
      <c r="F775" t="s">
        <v>79</v>
      </c>
      <c r="G775" t="s">
        <v>16</v>
      </c>
      <c r="H775" s="6" t="s">
        <v>1726</v>
      </c>
      <c r="I775" s="11">
        <v>62938.8</v>
      </c>
      <c r="J775" t="s">
        <v>157</v>
      </c>
      <c r="K775">
        <v>-4418222617</v>
      </c>
      <c r="L775" t="s">
        <v>18</v>
      </c>
      <c r="M775" t="b">
        <v>0</v>
      </c>
      <c r="N775" s="17">
        <f t="shared" si="12"/>
        <v>43931</v>
      </c>
      <c r="O775" t="str">
        <f>LEFT(Table1[[#This Row],[Department_Region]], FIND("-", Table1[[#This Row],[Department_Region]]) - 1)</f>
        <v>DevOps</v>
      </c>
      <c r="P775" t="str">
        <f>RIGHT(Table1[[#This Row],[Department_Region]],LEN(Table1[[#This Row],[Department_Region]]) - FIND("-",Table1[[#This Row],[Department_Region]]))</f>
        <v>Illinois</v>
      </c>
      <c r="Q7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75" s="15"/>
    </row>
    <row r="776" spans="1:18" x14ac:dyDescent="0.2">
      <c r="A776" s="1">
        <v>774</v>
      </c>
      <c r="B776" s="6" t="s">
        <v>1325</v>
      </c>
      <c r="C776" t="s">
        <v>37</v>
      </c>
      <c r="D776" t="s">
        <v>55</v>
      </c>
      <c r="E776">
        <v>25</v>
      </c>
      <c r="F776" t="s">
        <v>104</v>
      </c>
      <c r="G776" t="s">
        <v>28</v>
      </c>
      <c r="H776" s="6" t="s">
        <v>407</v>
      </c>
      <c r="I776" s="11">
        <v>108661.01</v>
      </c>
      <c r="J776" t="s">
        <v>275</v>
      </c>
      <c r="K776">
        <v>-9628874311</v>
      </c>
      <c r="L776" t="s">
        <v>41</v>
      </c>
      <c r="M776" t="b">
        <v>0</v>
      </c>
      <c r="N776" s="17">
        <f t="shared" si="12"/>
        <v>45014</v>
      </c>
      <c r="O776" t="str">
        <f>LEFT(Table1[[#This Row],[Department_Region]], FIND("-", Table1[[#This Row],[Department_Region]]) - 1)</f>
        <v>Admin</v>
      </c>
      <c r="P776" t="str">
        <f>RIGHT(Table1[[#This Row],[Department_Region]],LEN(Table1[[#This Row],[Department_Region]]) - FIND("-",Table1[[#This Row],[Department_Region]]))</f>
        <v>Texas</v>
      </c>
      <c r="Q7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76" s="15"/>
    </row>
    <row r="777" spans="1:18" x14ac:dyDescent="0.2">
      <c r="A777" s="1">
        <v>775</v>
      </c>
      <c r="B777" s="6" t="s">
        <v>1326</v>
      </c>
      <c r="C777" t="s">
        <v>13</v>
      </c>
      <c r="D777" t="s">
        <v>26</v>
      </c>
      <c r="E777">
        <v>25</v>
      </c>
      <c r="F777" t="s">
        <v>39</v>
      </c>
      <c r="G777" t="s">
        <v>16</v>
      </c>
      <c r="H777" s="6" t="s">
        <v>1327</v>
      </c>
      <c r="I777" s="11">
        <v>97046.33</v>
      </c>
      <c r="J777" t="s">
        <v>50</v>
      </c>
      <c r="K777">
        <v>-7102676719</v>
      </c>
      <c r="L777" t="s">
        <v>30</v>
      </c>
      <c r="M777" t="b">
        <v>0</v>
      </c>
      <c r="N777" s="17">
        <f t="shared" si="12"/>
        <v>44161</v>
      </c>
      <c r="O777" t="str">
        <f>LEFT(Table1[[#This Row],[Department_Region]], FIND("-", Table1[[#This Row],[Department_Region]]) - 1)</f>
        <v>Cloud Tech</v>
      </c>
      <c r="P777" t="str">
        <f>RIGHT(Table1[[#This Row],[Department_Region]],LEN(Table1[[#This Row],[Department_Region]]) - FIND("-",Table1[[#This Row],[Department_Region]]))</f>
        <v>Florida</v>
      </c>
      <c r="Q7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77" s="15"/>
    </row>
    <row r="778" spans="1:18" x14ac:dyDescent="0.2">
      <c r="A778" s="1">
        <v>776</v>
      </c>
      <c r="B778" s="6" t="s">
        <v>1328</v>
      </c>
      <c r="C778" t="s">
        <v>54</v>
      </c>
      <c r="D778" t="s">
        <v>124</v>
      </c>
      <c r="E778">
        <v>40</v>
      </c>
      <c r="F778" t="s">
        <v>79</v>
      </c>
      <c r="G778" t="s">
        <v>33</v>
      </c>
      <c r="H778" s="6" t="s">
        <v>1329</v>
      </c>
      <c r="I778" s="11">
        <v>56518.84</v>
      </c>
      <c r="J778" t="s">
        <v>197</v>
      </c>
      <c r="K778">
        <v>-9579927078</v>
      </c>
      <c r="L778" t="s">
        <v>18</v>
      </c>
      <c r="M778" t="b">
        <v>0</v>
      </c>
      <c r="N778" s="17">
        <f t="shared" si="12"/>
        <v>43904</v>
      </c>
      <c r="O778" t="str">
        <f>LEFT(Table1[[#This Row],[Department_Region]], FIND("-", Table1[[#This Row],[Department_Region]]) - 1)</f>
        <v>DevOps</v>
      </c>
      <c r="P778" t="str">
        <f>RIGHT(Table1[[#This Row],[Department_Region]],LEN(Table1[[#This Row],[Department_Region]]) - FIND("-",Table1[[#This Row],[Department_Region]]))</f>
        <v>Illinois</v>
      </c>
      <c r="Q7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78" s="15"/>
    </row>
    <row r="779" spans="1:18" x14ac:dyDescent="0.2">
      <c r="A779" s="1">
        <v>777</v>
      </c>
      <c r="B779" s="6" t="s">
        <v>1330</v>
      </c>
      <c r="C779" t="s">
        <v>37</v>
      </c>
      <c r="D779" t="s">
        <v>43</v>
      </c>
      <c r="E779">
        <v>40</v>
      </c>
      <c r="F779" t="s">
        <v>39</v>
      </c>
      <c r="G779" t="s">
        <v>28</v>
      </c>
      <c r="H779" s="6" t="s">
        <v>1891</v>
      </c>
      <c r="I779" s="11">
        <v>70498.289999999994</v>
      </c>
      <c r="J779" t="s">
        <v>183</v>
      </c>
      <c r="K779">
        <v>-5515122945</v>
      </c>
      <c r="L779" t="s">
        <v>30</v>
      </c>
      <c r="M779" t="b">
        <v>1</v>
      </c>
      <c r="N779" s="17">
        <f t="shared" si="12"/>
        <v>43963</v>
      </c>
      <c r="O779" t="str">
        <f>LEFT(Table1[[#This Row],[Department_Region]], FIND("-", Table1[[#This Row],[Department_Region]]) - 1)</f>
        <v>Cloud Tech</v>
      </c>
      <c r="P779" t="str">
        <f>RIGHT(Table1[[#This Row],[Department_Region]],LEN(Table1[[#This Row],[Department_Region]]) - FIND("-",Table1[[#This Row],[Department_Region]]))</f>
        <v>Florida</v>
      </c>
      <c r="Q7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79" s="15"/>
    </row>
    <row r="780" spans="1:18" x14ac:dyDescent="0.2">
      <c r="A780" s="1">
        <v>778</v>
      </c>
      <c r="B780" s="6" t="s">
        <v>1331</v>
      </c>
      <c r="C780" t="s">
        <v>32</v>
      </c>
      <c r="D780" t="s">
        <v>43</v>
      </c>
      <c r="E780">
        <v>35</v>
      </c>
      <c r="F780" t="s">
        <v>75</v>
      </c>
      <c r="G780" t="s">
        <v>28</v>
      </c>
      <c r="H780" s="6" t="s">
        <v>1827</v>
      </c>
      <c r="I780" s="11">
        <v>98708.06</v>
      </c>
      <c r="J780" t="s">
        <v>301</v>
      </c>
      <c r="K780">
        <v>-2135415969</v>
      </c>
      <c r="L780" t="s">
        <v>18</v>
      </c>
      <c r="M780" t="b">
        <v>1</v>
      </c>
      <c r="N780" s="17">
        <f t="shared" si="12"/>
        <v>44260</v>
      </c>
      <c r="O780" t="str">
        <f>LEFT(Table1[[#This Row],[Department_Region]], FIND("-", Table1[[#This Row],[Department_Region]]) - 1)</f>
        <v>Sales</v>
      </c>
      <c r="P780" t="str">
        <f>RIGHT(Table1[[#This Row],[Department_Region]],LEN(Table1[[#This Row],[Department_Region]]) - FIND("-",Table1[[#This Row],[Department_Region]]))</f>
        <v>Florida</v>
      </c>
      <c r="Q7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80" s="15"/>
    </row>
    <row r="781" spans="1:18" x14ac:dyDescent="0.2">
      <c r="A781" s="1">
        <v>779</v>
      </c>
      <c r="B781" s="6" t="s">
        <v>1332</v>
      </c>
      <c r="C781" t="s">
        <v>13</v>
      </c>
      <c r="D781" t="s">
        <v>38</v>
      </c>
      <c r="E781">
        <v>32</v>
      </c>
      <c r="F781" t="s">
        <v>333</v>
      </c>
      <c r="G781" t="s">
        <v>28</v>
      </c>
      <c r="H781" s="6" t="s">
        <v>513</v>
      </c>
      <c r="I781" s="11">
        <v>83856.41</v>
      </c>
      <c r="J781" t="s">
        <v>146</v>
      </c>
      <c r="K781">
        <v>-9962543847</v>
      </c>
      <c r="L781" t="s">
        <v>23</v>
      </c>
      <c r="M781" t="b">
        <v>0</v>
      </c>
      <c r="N781" s="17">
        <f t="shared" si="12"/>
        <v>44010</v>
      </c>
      <c r="O781" t="str">
        <f>LEFT(Table1[[#This Row],[Department_Region]], FIND("-", Table1[[#This Row],[Department_Region]]) - 1)</f>
        <v>DevOps</v>
      </c>
      <c r="P781" t="str">
        <f>RIGHT(Table1[[#This Row],[Department_Region]],LEN(Table1[[#This Row],[Department_Region]]) - FIND("-",Table1[[#This Row],[Department_Region]]))</f>
        <v>Nevada</v>
      </c>
      <c r="Q7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81" s="15"/>
    </row>
    <row r="782" spans="1:18" x14ac:dyDescent="0.2">
      <c r="A782" s="1">
        <v>780</v>
      </c>
      <c r="B782" s="6" t="s">
        <v>1333</v>
      </c>
      <c r="C782" t="s">
        <v>32</v>
      </c>
      <c r="D782" t="s">
        <v>124</v>
      </c>
      <c r="E782">
        <v>40</v>
      </c>
      <c r="F782" t="s">
        <v>180</v>
      </c>
      <c r="G782" t="s">
        <v>33</v>
      </c>
      <c r="H782" s="6" t="s">
        <v>605</v>
      </c>
      <c r="I782" s="11">
        <v>90259.99</v>
      </c>
      <c r="J782" t="s">
        <v>529</v>
      </c>
      <c r="K782">
        <v>-752034475</v>
      </c>
      <c r="L782" t="s">
        <v>18</v>
      </c>
      <c r="M782" t="b">
        <v>0</v>
      </c>
      <c r="N782" s="17">
        <f t="shared" si="12"/>
        <v>44907</v>
      </c>
      <c r="O782" t="str">
        <f>LEFT(Table1[[#This Row],[Department_Region]], FIND("-", Table1[[#This Row],[Department_Region]]) - 1)</f>
        <v>Sales</v>
      </c>
      <c r="P782" t="str">
        <f>RIGHT(Table1[[#This Row],[Department_Region]],LEN(Table1[[#This Row],[Department_Region]]) - FIND("-",Table1[[#This Row],[Department_Region]]))</f>
        <v>California</v>
      </c>
      <c r="Q7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82" s="15"/>
    </row>
    <row r="783" spans="1:18" x14ac:dyDescent="0.2">
      <c r="A783" s="1">
        <v>781</v>
      </c>
      <c r="B783" s="6" t="s">
        <v>1334</v>
      </c>
      <c r="C783" t="s">
        <v>54</v>
      </c>
      <c r="D783" t="s">
        <v>38</v>
      </c>
      <c r="E783">
        <v>32</v>
      </c>
      <c r="F783" t="s">
        <v>75</v>
      </c>
      <c r="G783" t="s">
        <v>28</v>
      </c>
      <c r="H783" s="6" t="s">
        <v>1892</v>
      </c>
      <c r="I783" s="11">
        <v>94230.03</v>
      </c>
      <c r="J783" t="s">
        <v>91</v>
      </c>
      <c r="K783">
        <v>-5047158028</v>
      </c>
      <c r="L783" t="s">
        <v>23</v>
      </c>
      <c r="M783" t="b">
        <v>1</v>
      </c>
      <c r="N783" s="17">
        <f t="shared" si="12"/>
        <v>45324</v>
      </c>
      <c r="O783" t="str">
        <f>LEFT(Table1[[#This Row],[Department_Region]], FIND("-", Table1[[#This Row],[Department_Region]]) - 1)</f>
        <v>Sales</v>
      </c>
      <c r="P783" t="str">
        <f>RIGHT(Table1[[#This Row],[Department_Region]],LEN(Table1[[#This Row],[Department_Region]]) - FIND("-",Table1[[#This Row],[Department_Region]]))</f>
        <v>Florida</v>
      </c>
      <c r="Q7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83" s="15"/>
    </row>
    <row r="784" spans="1:18" x14ac:dyDescent="0.2">
      <c r="A784" s="1">
        <v>782</v>
      </c>
      <c r="B784" s="6" t="s">
        <v>1335</v>
      </c>
      <c r="C784" t="s">
        <v>54</v>
      </c>
      <c r="D784" t="s">
        <v>43</v>
      </c>
      <c r="E784">
        <v>32</v>
      </c>
      <c r="F784" t="s">
        <v>27</v>
      </c>
      <c r="G784" t="s">
        <v>33</v>
      </c>
      <c r="H784" s="6" t="s">
        <v>1053</v>
      </c>
      <c r="I784" s="11">
        <v>50110.66</v>
      </c>
      <c r="J784" t="s">
        <v>88</v>
      </c>
      <c r="K784">
        <v>-904637659</v>
      </c>
      <c r="L784" t="s">
        <v>18</v>
      </c>
      <c r="M784" t="b">
        <v>1</v>
      </c>
      <c r="N784" s="17">
        <f t="shared" si="12"/>
        <v>44227</v>
      </c>
      <c r="O784" t="str">
        <f>LEFT(Table1[[#This Row],[Department_Region]], FIND("-", Table1[[#This Row],[Department_Region]]) - 1)</f>
        <v>Admin</v>
      </c>
      <c r="P784" t="str">
        <f>RIGHT(Table1[[#This Row],[Department_Region]],LEN(Table1[[#This Row],[Department_Region]]) - FIND("-",Table1[[#This Row],[Department_Region]]))</f>
        <v>Nevada</v>
      </c>
      <c r="Q7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84" s="15"/>
    </row>
    <row r="785" spans="1:18" x14ac:dyDescent="0.2">
      <c r="A785" s="1">
        <v>783</v>
      </c>
      <c r="B785" s="6" t="s">
        <v>1336</v>
      </c>
      <c r="C785" t="s">
        <v>13</v>
      </c>
      <c r="D785" t="s">
        <v>20</v>
      </c>
      <c r="E785">
        <v>30</v>
      </c>
      <c r="F785" t="s">
        <v>75</v>
      </c>
      <c r="G785" t="s">
        <v>33</v>
      </c>
      <c r="H785" s="6" t="s">
        <v>1676</v>
      </c>
      <c r="I785" s="11">
        <v>73365.460000000006</v>
      </c>
      <c r="J785" t="s">
        <v>22</v>
      </c>
      <c r="K785">
        <v>-4655866524</v>
      </c>
      <c r="L785" t="s">
        <v>41</v>
      </c>
      <c r="M785" t="b">
        <v>0</v>
      </c>
      <c r="N785" s="17">
        <f t="shared" si="12"/>
        <v>43924</v>
      </c>
      <c r="O785" t="str">
        <f>LEFT(Table1[[#This Row],[Department_Region]], FIND("-", Table1[[#This Row],[Department_Region]]) - 1)</f>
        <v>Sales</v>
      </c>
      <c r="P785" t="str">
        <f>RIGHT(Table1[[#This Row],[Department_Region]],LEN(Table1[[#This Row],[Department_Region]]) - FIND("-",Table1[[#This Row],[Department_Region]]))</f>
        <v>Florida</v>
      </c>
      <c r="Q7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85" s="15"/>
    </row>
    <row r="786" spans="1:18" x14ac:dyDescent="0.2">
      <c r="A786" s="1">
        <v>784</v>
      </c>
      <c r="B786" s="6" t="s">
        <v>1337</v>
      </c>
      <c r="C786" t="s">
        <v>59</v>
      </c>
      <c r="D786" t="s">
        <v>55</v>
      </c>
      <c r="E786">
        <v>25</v>
      </c>
      <c r="F786" t="s">
        <v>56</v>
      </c>
      <c r="G786" t="s">
        <v>28</v>
      </c>
      <c r="H786" s="6" t="s">
        <v>1338</v>
      </c>
      <c r="I786" s="11">
        <v>67809.23</v>
      </c>
      <c r="J786" t="s">
        <v>220</v>
      </c>
      <c r="K786">
        <v>-4837441714</v>
      </c>
      <c r="L786" t="s">
        <v>23</v>
      </c>
      <c r="M786" t="b">
        <v>0</v>
      </c>
      <c r="N786" s="17">
        <f t="shared" si="12"/>
        <v>44407</v>
      </c>
      <c r="O786" t="str">
        <f>LEFT(Table1[[#This Row],[Department_Region]], FIND("-", Table1[[#This Row],[Department_Region]]) - 1)</f>
        <v>DevOps</v>
      </c>
      <c r="P786" t="str">
        <f>RIGHT(Table1[[#This Row],[Department_Region]],LEN(Table1[[#This Row],[Department_Region]]) - FIND("-",Table1[[#This Row],[Department_Region]]))</f>
        <v>New York</v>
      </c>
      <c r="Q7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86" s="15"/>
    </row>
    <row r="787" spans="1:18" x14ac:dyDescent="0.2">
      <c r="A787" s="1">
        <v>785</v>
      </c>
      <c r="B787" s="6" t="s">
        <v>1339</v>
      </c>
      <c r="C787" t="s">
        <v>32</v>
      </c>
      <c r="D787" t="s">
        <v>124</v>
      </c>
      <c r="E787">
        <v>32</v>
      </c>
      <c r="F787" t="s">
        <v>180</v>
      </c>
      <c r="G787" t="s">
        <v>16</v>
      </c>
      <c r="H787" s="6" t="s">
        <v>419</v>
      </c>
      <c r="I787" s="11">
        <v>98008.51</v>
      </c>
      <c r="J787" t="s">
        <v>529</v>
      </c>
      <c r="K787">
        <v>-8102131250</v>
      </c>
      <c r="L787" t="s">
        <v>18</v>
      </c>
      <c r="M787" t="b">
        <v>0</v>
      </c>
      <c r="N787" s="17">
        <f t="shared" si="12"/>
        <v>44064</v>
      </c>
      <c r="O787" t="str">
        <f>LEFT(Table1[[#This Row],[Department_Region]], FIND("-", Table1[[#This Row],[Department_Region]]) - 1)</f>
        <v>Sales</v>
      </c>
      <c r="P787" t="str">
        <f>RIGHT(Table1[[#This Row],[Department_Region]],LEN(Table1[[#This Row],[Department_Region]]) - FIND("-",Table1[[#This Row],[Department_Region]]))</f>
        <v>California</v>
      </c>
      <c r="Q7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87" s="15"/>
    </row>
    <row r="788" spans="1:18" x14ac:dyDescent="0.2">
      <c r="A788" s="1">
        <v>786</v>
      </c>
      <c r="B788" s="6" t="s">
        <v>1340</v>
      </c>
      <c r="C788" t="s">
        <v>25</v>
      </c>
      <c r="D788" t="s">
        <v>14</v>
      </c>
      <c r="E788">
        <v>30</v>
      </c>
      <c r="F788" t="s">
        <v>120</v>
      </c>
      <c r="G788" t="s">
        <v>33</v>
      </c>
      <c r="H788" s="6" t="s">
        <v>1764</v>
      </c>
      <c r="I788" s="11">
        <v>83537.58</v>
      </c>
      <c r="J788" t="s">
        <v>165</v>
      </c>
      <c r="K788">
        <v>-2931100590</v>
      </c>
      <c r="L788" t="s">
        <v>41</v>
      </c>
      <c r="M788" t="b">
        <v>0</v>
      </c>
      <c r="N788" s="17">
        <f t="shared" si="12"/>
        <v>45208</v>
      </c>
      <c r="O788" t="str">
        <f>LEFT(Table1[[#This Row],[Department_Region]], FIND("-", Table1[[#This Row],[Department_Region]]) - 1)</f>
        <v>Admin</v>
      </c>
      <c r="P788" t="str">
        <f>RIGHT(Table1[[#This Row],[Department_Region]],LEN(Table1[[#This Row],[Department_Region]]) - FIND("-",Table1[[#This Row],[Department_Region]]))</f>
        <v>California</v>
      </c>
      <c r="Q7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88" s="15"/>
    </row>
    <row r="789" spans="1:18" x14ac:dyDescent="0.2">
      <c r="A789" s="1">
        <v>787</v>
      </c>
      <c r="B789" s="6" t="s">
        <v>1341</v>
      </c>
      <c r="C789" t="s">
        <v>25</v>
      </c>
      <c r="D789" t="s">
        <v>43</v>
      </c>
      <c r="E789">
        <v>30</v>
      </c>
      <c r="F789" t="s">
        <v>230</v>
      </c>
      <c r="G789" t="s">
        <v>28</v>
      </c>
      <c r="H789" s="6" t="s">
        <v>1868</v>
      </c>
      <c r="I789" s="11">
        <v>112444.08</v>
      </c>
      <c r="J789" t="s">
        <v>45</v>
      </c>
      <c r="K789">
        <v>-2975191022</v>
      </c>
      <c r="L789" t="s">
        <v>23</v>
      </c>
      <c r="M789" t="b">
        <v>1</v>
      </c>
      <c r="N789" s="17">
        <f t="shared" si="12"/>
        <v>44774</v>
      </c>
      <c r="O789" t="str">
        <f>LEFT(Table1[[#This Row],[Department_Region]], FIND("-", Table1[[#This Row],[Department_Region]]) - 1)</f>
        <v>Finance</v>
      </c>
      <c r="P789" t="str">
        <f>RIGHT(Table1[[#This Row],[Department_Region]],LEN(Table1[[#This Row],[Department_Region]]) - FIND("-",Table1[[#This Row],[Department_Region]]))</f>
        <v>New York</v>
      </c>
      <c r="Q7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89" s="15"/>
    </row>
    <row r="790" spans="1:18" x14ac:dyDescent="0.2">
      <c r="A790" s="1">
        <v>788</v>
      </c>
      <c r="B790" s="6" t="s">
        <v>1342</v>
      </c>
      <c r="C790" t="s">
        <v>37</v>
      </c>
      <c r="D790" t="s">
        <v>43</v>
      </c>
      <c r="E790">
        <v>40</v>
      </c>
      <c r="F790" t="s">
        <v>101</v>
      </c>
      <c r="G790" t="s">
        <v>16</v>
      </c>
      <c r="H790" s="6" t="s">
        <v>1846</v>
      </c>
      <c r="I790" s="11">
        <v>86475.13</v>
      </c>
      <c r="J790" t="s">
        <v>183</v>
      </c>
      <c r="K790">
        <v>-1211063300</v>
      </c>
      <c r="L790" t="s">
        <v>41</v>
      </c>
      <c r="M790" t="b">
        <v>1</v>
      </c>
      <c r="N790" s="17">
        <f t="shared" si="12"/>
        <v>45541</v>
      </c>
      <c r="O790" t="str">
        <f>LEFT(Table1[[#This Row],[Department_Region]], FIND("-", Table1[[#This Row],[Department_Region]]) - 1)</f>
        <v>Finance</v>
      </c>
      <c r="P790" t="str">
        <f>RIGHT(Table1[[#This Row],[Department_Region]],LEN(Table1[[#This Row],[Department_Region]]) - FIND("-",Table1[[#This Row],[Department_Region]]))</f>
        <v>Nevada</v>
      </c>
      <c r="Q7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90" s="15"/>
    </row>
    <row r="791" spans="1:18" x14ac:dyDescent="0.2">
      <c r="A791" s="1">
        <v>789</v>
      </c>
      <c r="B791" s="6" t="s">
        <v>1343</v>
      </c>
      <c r="C791" t="s">
        <v>37</v>
      </c>
      <c r="D791" t="s">
        <v>14</v>
      </c>
      <c r="E791">
        <v>32</v>
      </c>
      <c r="F791" t="s">
        <v>44</v>
      </c>
      <c r="G791" t="s">
        <v>16</v>
      </c>
      <c r="H791" s="6" t="s">
        <v>1344</v>
      </c>
      <c r="I791" s="11">
        <v>97984.53</v>
      </c>
      <c r="J791" t="s">
        <v>52</v>
      </c>
      <c r="K791">
        <v>-6583737926</v>
      </c>
      <c r="L791" t="s">
        <v>30</v>
      </c>
      <c r="M791" t="b">
        <v>1</v>
      </c>
      <c r="N791" s="17">
        <f t="shared" si="12"/>
        <v>45013</v>
      </c>
      <c r="O791" t="str">
        <f>LEFT(Table1[[#This Row],[Department_Region]], FIND("-", Table1[[#This Row],[Department_Region]]) - 1)</f>
        <v>Sales</v>
      </c>
      <c r="P791" t="str">
        <f>RIGHT(Table1[[#This Row],[Department_Region]],LEN(Table1[[#This Row],[Department_Region]]) - FIND("-",Table1[[#This Row],[Department_Region]]))</f>
        <v>Texas</v>
      </c>
      <c r="Q7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91" s="15"/>
    </row>
    <row r="792" spans="1:18" x14ac:dyDescent="0.2">
      <c r="A792" s="1">
        <v>790</v>
      </c>
      <c r="B792" s="6" t="s">
        <v>1345</v>
      </c>
      <c r="C792" t="s">
        <v>37</v>
      </c>
      <c r="D792" t="s">
        <v>93</v>
      </c>
      <c r="E792">
        <v>25</v>
      </c>
      <c r="F792" t="s">
        <v>120</v>
      </c>
      <c r="G792" t="s">
        <v>16</v>
      </c>
      <c r="H792" s="6" t="s">
        <v>1346</v>
      </c>
      <c r="I792" s="11">
        <v>118853.31</v>
      </c>
      <c r="J792" t="s">
        <v>111</v>
      </c>
      <c r="K792">
        <v>-4907280122</v>
      </c>
      <c r="L792" t="s">
        <v>30</v>
      </c>
      <c r="M792" t="b">
        <v>0</v>
      </c>
      <c r="N792" s="17">
        <f t="shared" si="12"/>
        <v>44525</v>
      </c>
      <c r="O792" t="str">
        <f>LEFT(Table1[[#This Row],[Department_Region]], FIND("-", Table1[[#This Row],[Department_Region]]) - 1)</f>
        <v>Admin</v>
      </c>
      <c r="P792" t="str">
        <f>RIGHT(Table1[[#This Row],[Department_Region]],LEN(Table1[[#This Row],[Department_Region]]) - FIND("-",Table1[[#This Row],[Department_Region]]))</f>
        <v>California</v>
      </c>
      <c r="Q7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92" s="15"/>
    </row>
    <row r="793" spans="1:18" x14ac:dyDescent="0.2">
      <c r="A793" s="1">
        <v>791</v>
      </c>
      <c r="B793" s="6" t="s">
        <v>1347</v>
      </c>
      <c r="C793" t="s">
        <v>54</v>
      </c>
      <c r="D793" t="s">
        <v>43</v>
      </c>
      <c r="E793">
        <v>32</v>
      </c>
      <c r="F793" t="s">
        <v>75</v>
      </c>
      <c r="G793" t="s">
        <v>16</v>
      </c>
      <c r="H793" s="6" t="s">
        <v>1691</v>
      </c>
      <c r="I793" s="11">
        <v>58179.12</v>
      </c>
      <c r="J793" t="s">
        <v>88</v>
      </c>
      <c r="K793">
        <v>-4289311324</v>
      </c>
      <c r="L793" t="s">
        <v>23</v>
      </c>
      <c r="M793" t="b">
        <v>0</v>
      </c>
      <c r="N793" s="17">
        <f t="shared" si="12"/>
        <v>45049</v>
      </c>
      <c r="O793" t="str">
        <f>LEFT(Table1[[#This Row],[Department_Region]], FIND("-", Table1[[#This Row],[Department_Region]]) - 1)</f>
        <v>Sales</v>
      </c>
      <c r="P793" t="str">
        <f>RIGHT(Table1[[#This Row],[Department_Region]],LEN(Table1[[#This Row],[Department_Region]]) - FIND("-",Table1[[#This Row],[Department_Region]]))</f>
        <v>Florida</v>
      </c>
      <c r="Q7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93" s="15"/>
    </row>
    <row r="794" spans="1:18" x14ac:dyDescent="0.2">
      <c r="A794" s="1">
        <v>792</v>
      </c>
      <c r="B794" s="6" t="s">
        <v>1348</v>
      </c>
      <c r="C794" t="s">
        <v>32</v>
      </c>
      <c r="D794" t="s">
        <v>26</v>
      </c>
      <c r="E794">
        <v>35</v>
      </c>
      <c r="F794" t="s">
        <v>241</v>
      </c>
      <c r="G794" t="s">
        <v>33</v>
      </c>
      <c r="H794" s="6" t="s">
        <v>1349</v>
      </c>
      <c r="I794" s="11">
        <v>56075.839999999997</v>
      </c>
      <c r="J794" t="s">
        <v>281</v>
      </c>
      <c r="K794">
        <v>-3269496842</v>
      </c>
      <c r="L794" t="s">
        <v>18</v>
      </c>
      <c r="M794" t="b">
        <v>1</v>
      </c>
      <c r="N794" s="17">
        <f t="shared" si="12"/>
        <v>44678</v>
      </c>
      <c r="O794" t="str">
        <f>LEFT(Table1[[#This Row],[Department_Region]], FIND("-", Table1[[#This Row],[Department_Region]]) - 1)</f>
        <v>DevOps</v>
      </c>
      <c r="P794" t="str">
        <f>RIGHT(Table1[[#This Row],[Department_Region]],LEN(Table1[[#This Row],[Department_Region]]) - FIND("-",Table1[[#This Row],[Department_Region]]))</f>
        <v>Texas</v>
      </c>
      <c r="Q7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794" s="15"/>
    </row>
    <row r="795" spans="1:18" x14ac:dyDescent="0.2">
      <c r="A795" s="1">
        <v>793</v>
      </c>
      <c r="B795" s="6" t="s">
        <v>1350</v>
      </c>
      <c r="C795" t="s">
        <v>37</v>
      </c>
      <c r="D795" t="s">
        <v>20</v>
      </c>
      <c r="E795">
        <v>40</v>
      </c>
      <c r="F795" t="s">
        <v>66</v>
      </c>
      <c r="G795" t="s">
        <v>28</v>
      </c>
      <c r="H795" s="6" t="s">
        <v>1893</v>
      </c>
      <c r="I795" s="11">
        <v>62250.89</v>
      </c>
      <c r="J795" t="s">
        <v>243</v>
      </c>
      <c r="K795">
        <v>-6453804420</v>
      </c>
      <c r="L795" t="s">
        <v>23</v>
      </c>
      <c r="M795" t="b">
        <v>1</v>
      </c>
      <c r="N795" s="17">
        <f t="shared" si="12"/>
        <v>44450</v>
      </c>
      <c r="O795" t="str">
        <f>LEFT(Table1[[#This Row],[Department_Region]], FIND("-", Table1[[#This Row],[Department_Region]]) - 1)</f>
        <v>HR</v>
      </c>
      <c r="P795" t="str">
        <f>RIGHT(Table1[[#This Row],[Department_Region]],LEN(Table1[[#This Row],[Department_Region]]) - FIND("-",Table1[[#This Row],[Department_Region]]))</f>
        <v>New York</v>
      </c>
      <c r="Q7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95" s="15"/>
    </row>
    <row r="796" spans="1:18" x14ac:dyDescent="0.2">
      <c r="A796" s="1">
        <v>794</v>
      </c>
      <c r="B796" s="6" t="s">
        <v>1351</v>
      </c>
      <c r="C796" t="s">
        <v>25</v>
      </c>
      <c r="D796" t="s">
        <v>124</v>
      </c>
      <c r="E796">
        <v>30</v>
      </c>
      <c r="F796" t="s">
        <v>39</v>
      </c>
      <c r="G796" t="s">
        <v>28</v>
      </c>
      <c r="H796" s="6" t="s">
        <v>1311</v>
      </c>
      <c r="I796" s="11">
        <v>105931.77</v>
      </c>
      <c r="J796" t="s">
        <v>185</v>
      </c>
      <c r="K796">
        <v>-175096169</v>
      </c>
      <c r="L796" t="s">
        <v>41</v>
      </c>
      <c r="M796" t="b">
        <v>1</v>
      </c>
      <c r="N796" s="17">
        <f t="shared" si="12"/>
        <v>43882</v>
      </c>
      <c r="O796" t="str">
        <f>LEFT(Table1[[#This Row],[Department_Region]], FIND("-", Table1[[#This Row],[Department_Region]]) - 1)</f>
        <v>Cloud Tech</v>
      </c>
      <c r="P796" t="str">
        <f>RIGHT(Table1[[#This Row],[Department_Region]],LEN(Table1[[#This Row],[Department_Region]]) - FIND("-",Table1[[#This Row],[Department_Region]]))</f>
        <v>Florida</v>
      </c>
      <c r="Q7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796" s="15"/>
    </row>
    <row r="797" spans="1:18" x14ac:dyDescent="0.2">
      <c r="A797" s="1">
        <v>795</v>
      </c>
      <c r="B797" s="6" t="s">
        <v>1352</v>
      </c>
      <c r="C797" t="s">
        <v>54</v>
      </c>
      <c r="D797" t="s">
        <v>14</v>
      </c>
      <c r="E797">
        <v>30</v>
      </c>
      <c r="F797" t="s">
        <v>215</v>
      </c>
      <c r="G797" t="s">
        <v>28</v>
      </c>
      <c r="H797" s="6" t="s">
        <v>1353</v>
      </c>
      <c r="I797" s="11">
        <v>86653.96</v>
      </c>
      <c r="J797" t="s">
        <v>173</v>
      </c>
      <c r="K797">
        <v>-1595919456</v>
      </c>
      <c r="L797" t="s">
        <v>18</v>
      </c>
      <c r="M797" t="b">
        <v>1</v>
      </c>
      <c r="N797" s="17">
        <f t="shared" si="12"/>
        <v>45620</v>
      </c>
      <c r="O797" t="str">
        <f>LEFT(Table1[[#This Row],[Department_Region]], FIND("-", Table1[[#This Row],[Department_Region]]) - 1)</f>
        <v>HR</v>
      </c>
      <c r="P797" t="str">
        <f>RIGHT(Table1[[#This Row],[Department_Region]],LEN(Table1[[#This Row],[Department_Region]]) - FIND("-",Table1[[#This Row],[Department_Region]]))</f>
        <v>Florida</v>
      </c>
      <c r="Q7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97" s="15"/>
    </row>
    <row r="798" spans="1:18" x14ac:dyDescent="0.2">
      <c r="A798" s="1">
        <v>796</v>
      </c>
      <c r="B798" s="6" t="s">
        <v>1354</v>
      </c>
      <c r="C798" t="s">
        <v>54</v>
      </c>
      <c r="D798" t="s">
        <v>26</v>
      </c>
      <c r="E798">
        <v>25</v>
      </c>
      <c r="F798" t="s">
        <v>222</v>
      </c>
      <c r="G798" t="s">
        <v>16</v>
      </c>
      <c r="H798" s="6" t="s">
        <v>1102</v>
      </c>
      <c r="I798" s="11">
        <v>100719.94</v>
      </c>
      <c r="J798" t="s">
        <v>122</v>
      </c>
      <c r="K798">
        <v>-5757475832</v>
      </c>
      <c r="L798" t="s">
        <v>30</v>
      </c>
      <c r="M798" t="b">
        <v>0</v>
      </c>
      <c r="N798" s="17">
        <f t="shared" si="12"/>
        <v>44251</v>
      </c>
      <c r="O798" t="str">
        <f>LEFT(Table1[[#This Row],[Department_Region]], FIND("-", Table1[[#This Row],[Department_Region]]) - 1)</f>
        <v>Sales</v>
      </c>
      <c r="P798" t="str">
        <f>RIGHT(Table1[[#This Row],[Department_Region]],LEN(Table1[[#This Row],[Department_Region]]) - FIND("-",Table1[[#This Row],[Department_Region]]))</f>
        <v>Nevada</v>
      </c>
      <c r="Q7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98" s="15"/>
    </row>
    <row r="799" spans="1:18" x14ac:dyDescent="0.2">
      <c r="A799" s="1">
        <v>797</v>
      </c>
      <c r="B799" s="6" t="s">
        <v>1355</v>
      </c>
      <c r="C799" t="s">
        <v>13</v>
      </c>
      <c r="D799" t="s">
        <v>14</v>
      </c>
      <c r="E799">
        <v>25</v>
      </c>
      <c r="F799" t="s">
        <v>141</v>
      </c>
      <c r="G799" t="s">
        <v>28</v>
      </c>
      <c r="H799" s="6" t="s">
        <v>1730</v>
      </c>
      <c r="I799" s="11">
        <v>91600.13</v>
      </c>
      <c r="J799" t="s">
        <v>17</v>
      </c>
      <c r="K799">
        <v>-9205677566</v>
      </c>
      <c r="L799" t="s">
        <v>18</v>
      </c>
      <c r="M799" t="b">
        <v>1</v>
      </c>
      <c r="N799" s="17">
        <f t="shared" si="12"/>
        <v>45567</v>
      </c>
      <c r="O799" t="str">
        <f>LEFT(Table1[[#This Row],[Department_Region]], FIND("-", Table1[[#This Row],[Department_Region]]) - 1)</f>
        <v>HR</v>
      </c>
      <c r="P799" t="str">
        <f>RIGHT(Table1[[#This Row],[Department_Region]],LEN(Table1[[#This Row],[Department_Region]]) - FIND("-",Table1[[#This Row],[Department_Region]]))</f>
        <v>Texas</v>
      </c>
      <c r="Q7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799" s="15"/>
    </row>
    <row r="800" spans="1:18" x14ac:dyDescent="0.2">
      <c r="A800" s="1">
        <v>798</v>
      </c>
      <c r="B800" s="6" t="s">
        <v>1356</v>
      </c>
      <c r="C800" t="s">
        <v>65</v>
      </c>
      <c r="D800" t="s">
        <v>124</v>
      </c>
      <c r="E800">
        <v>25</v>
      </c>
      <c r="F800" t="s">
        <v>96</v>
      </c>
      <c r="G800" t="s">
        <v>28</v>
      </c>
      <c r="H800" s="6" t="s">
        <v>1894</v>
      </c>
      <c r="I800" s="11">
        <v>71873.66</v>
      </c>
      <c r="J800" t="s">
        <v>372</v>
      </c>
      <c r="K800">
        <v>-7722660255</v>
      </c>
      <c r="L800" t="s">
        <v>30</v>
      </c>
      <c r="M800" t="b">
        <v>1</v>
      </c>
      <c r="N800" s="17">
        <f t="shared" si="12"/>
        <v>45357</v>
      </c>
      <c r="O800" t="str">
        <f>LEFT(Table1[[#This Row],[Department_Region]], FIND("-", Table1[[#This Row],[Department_Region]]) - 1)</f>
        <v>Cloud Tech</v>
      </c>
      <c r="P800" t="str">
        <f>RIGHT(Table1[[#This Row],[Department_Region]],LEN(Table1[[#This Row],[Department_Region]]) - FIND("-",Table1[[#This Row],[Department_Region]]))</f>
        <v>Illinois</v>
      </c>
      <c r="Q8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00" s="15"/>
    </row>
    <row r="801" spans="1:18" x14ac:dyDescent="0.2">
      <c r="A801" s="1">
        <v>799</v>
      </c>
      <c r="B801" s="6" t="s">
        <v>1357</v>
      </c>
      <c r="C801" t="s">
        <v>32</v>
      </c>
      <c r="D801" t="s">
        <v>38</v>
      </c>
      <c r="E801">
        <v>30</v>
      </c>
      <c r="F801" t="s">
        <v>66</v>
      </c>
      <c r="G801" t="s">
        <v>16</v>
      </c>
      <c r="H801" s="6" t="s">
        <v>1855</v>
      </c>
      <c r="I801" s="11">
        <v>69365.47</v>
      </c>
      <c r="J801" t="s">
        <v>143</v>
      </c>
      <c r="K801">
        <v>-2650622922</v>
      </c>
      <c r="L801" t="s">
        <v>18</v>
      </c>
      <c r="M801" t="b">
        <v>1</v>
      </c>
      <c r="N801" s="17">
        <f t="shared" si="12"/>
        <v>44417</v>
      </c>
      <c r="O801" t="str">
        <f>LEFT(Table1[[#This Row],[Department_Region]], FIND("-", Table1[[#This Row],[Department_Region]]) - 1)</f>
        <v>HR</v>
      </c>
      <c r="P801" t="str">
        <f>RIGHT(Table1[[#This Row],[Department_Region]],LEN(Table1[[#This Row],[Department_Region]]) - FIND("-",Table1[[#This Row],[Department_Region]]))</f>
        <v>New York</v>
      </c>
      <c r="Q8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01" s="15"/>
    </row>
    <row r="802" spans="1:18" x14ac:dyDescent="0.2">
      <c r="A802" s="1">
        <v>800</v>
      </c>
      <c r="B802" s="6" t="s">
        <v>1358</v>
      </c>
      <c r="C802" t="s">
        <v>65</v>
      </c>
      <c r="D802" t="s">
        <v>124</v>
      </c>
      <c r="E802">
        <v>25</v>
      </c>
      <c r="F802" t="s">
        <v>66</v>
      </c>
      <c r="G802" t="s">
        <v>16</v>
      </c>
      <c r="H802" s="6" t="s">
        <v>1000</v>
      </c>
      <c r="I802" s="11">
        <v>58012.23</v>
      </c>
      <c r="J802" t="s">
        <v>372</v>
      </c>
      <c r="K802">
        <v>-1067245306</v>
      </c>
      <c r="L802" t="s">
        <v>18</v>
      </c>
      <c r="M802" t="b">
        <v>1</v>
      </c>
      <c r="N802" s="17">
        <f t="shared" si="12"/>
        <v>44391</v>
      </c>
      <c r="O802" t="str">
        <f>LEFT(Table1[[#This Row],[Department_Region]], FIND("-", Table1[[#This Row],[Department_Region]]) - 1)</f>
        <v>HR</v>
      </c>
      <c r="P802" t="str">
        <f>RIGHT(Table1[[#This Row],[Department_Region]],LEN(Table1[[#This Row],[Department_Region]]) - FIND("-",Table1[[#This Row],[Department_Region]]))</f>
        <v>New York</v>
      </c>
      <c r="Q8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02" s="15"/>
    </row>
    <row r="803" spans="1:18" x14ac:dyDescent="0.2">
      <c r="A803" s="1">
        <v>801</v>
      </c>
      <c r="B803" s="6" t="s">
        <v>1359</v>
      </c>
      <c r="C803" t="s">
        <v>13</v>
      </c>
      <c r="D803" t="s">
        <v>93</v>
      </c>
      <c r="E803">
        <v>30</v>
      </c>
      <c r="F803" t="s">
        <v>180</v>
      </c>
      <c r="G803" t="s">
        <v>28</v>
      </c>
      <c r="H803" s="6" t="s">
        <v>471</v>
      </c>
      <c r="I803" s="11">
        <v>68973.649999999994</v>
      </c>
      <c r="J803" t="s">
        <v>94</v>
      </c>
      <c r="K803">
        <v>-6248433796</v>
      </c>
      <c r="L803" t="s">
        <v>18</v>
      </c>
      <c r="M803" t="b">
        <v>1</v>
      </c>
      <c r="N803" s="17">
        <f t="shared" si="12"/>
        <v>44483</v>
      </c>
      <c r="O803" t="str">
        <f>LEFT(Table1[[#This Row],[Department_Region]], FIND("-", Table1[[#This Row],[Department_Region]]) - 1)</f>
        <v>Sales</v>
      </c>
      <c r="P803" t="str">
        <f>RIGHT(Table1[[#This Row],[Department_Region]],LEN(Table1[[#This Row],[Department_Region]]) - FIND("-",Table1[[#This Row],[Department_Region]]))</f>
        <v>California</v>
      </c>
      <c r="Q8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03" s="15"/>
    </row>
    <row r="804" spans="1:18" x14ac:dyDescent="0.2">
      <c r="A804" s="1">
        <v>802</v>
      </c>
      <c r="B804" s="6" t="s">
        <v>1360</v>
      </c>
      <c r="C804" t="s">
        <v>32</v>
      </c>
      <c r="D804" t="s">
        <v>124</v>
      </c>
      <c r="E804">
        <v>32</v>
      </c>
      <c r="F804" t="s">
        <v>199</v>
      </c>
      <c r="G804" t="s">
        <v>16</v>
      </c>
      <c r="H804" s="6" t="s">
        <v>900</v>
      </c>
      <c r="I804" s="11">
        <v>92928.4</v>
      </c>
      <c r="J804" t="s">
        <v>529</v>
      </c>
      <c r="K804">
        <v>-6627051156</v>
      </c>
      <c r="L804" t="s">
        <v>41</v>
      </c>
      <c r="M804" t="b">
        <v>1</v>
      </c>
      <c r="N804" s="17">
        <f t="shared" si="12"/>
        <v>44468</v>
      </c>
      <c r="O804" t="str">
        <f>LEFT(Table1[[#This Row],[Department_Region]], FIND("-", Table1[[#This Row],[Department_Region]]) - 1)</f>
        <v>Admin</v>
      </c>
      <c r="P804" t="str">
        <f>RIGHT(Table1[[#This Row],[Department_Region]],LEN(Table1[[#This Row],[Department_Region]]) - FIND("-",Table1[[#This Row],[Department_Region]]))</f>
        <v>New York</v>
      </c>
      <c r="Q8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04" s="15"/>
    </row>
    <row r="805" spans="1:18" x14ac:dyDescent="0.2">
      <c r="A805" s="1">
        <v>803</v>
      </c>
      <c r="B805" s="6" t="s">
        <v>1361</v>
      </c>
      <c r="C805" t="s">
        <v>65</v>
      </c>
      <c r="D805" t="s">
        <v>124</v>
      </c>
      <c r="E805">
        <v>25</v>
      </c>
      <c r="F805" t="s">
        <v>104</v>
      </c>
      <c r="G805" t="s">
        <v>33</v>
      </c>
      <c r="H805" s="6" t="s">
        <v>1362</v>
      </c>
      <c r="I805" s="11">
        <v>53531.92</v>
      </c>
      <c r="J805" t="s">
        <v>372</v>
      </c>
      <c r="K805">
        <v>-9423873669</v>
      </c>
      <c r="L805" t="s">
        <v>41</v>
      </c>
      <c r="M805" t="b">
        <v>1</v>
      </c>
      <c r="N805" s="17">
        <f t="shared" si="12"/>
        <v>45214</v>
      </c>
      <c r="O805" t="str">
        <f>LEFT(Table1[[#This Row],[Department_Region]], FIND("-", Table1[[#This Row],[Department_Region]]) - 1)</f>
        <v>Admin</v>
      </c>
      <c r="P805" t="str">
        <f>RIGHT(Table1[[#This Row],[Department_Region]],LEN(Table1[[#This Row],[Department_Region]]) - FIND("-",Table1[[#This Row],[Department_Region]]))</f>
        <v>Texas</v>
      </c>
      <c r="Q8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05" s="15"/>
    </row>
    <row r="806" spans="1:18" x14ac:dyDescent="0.2">
      <c r="A806" s="1">
        <v>804</v>
      </c>
      <c r="B806" s="6" t="s">
        <v>1363</v>
      </c>
      <c r="C806" t="s">
        <v>13</v>
      </c>
      <c r="D806" t="s">
        <v>93</v>
      </c>
      <c r="E806">
        <v>40</v>
      </c>
      <c r="F806" t="s">
        <v>230</v>
      </c>
      <c r="G806" t="s">
        <v>28</v>
      </c>
      <c r="H806" s="6" t="s">
        <v>1895</v>
      </c>
      <c r="I806" s="11">
        <v>112389.31</v>
      </c>
      <c r="J806" t="s">
        <v>94</v>
      </c>
      <c r="K806">
        <v>-4254969191</v>
      </c>
      <c r="L806" t="s">
        <v>23</v>
      </c>
      <c r="M806" t="b">
        <v>0</v>
      </c>
      <c r="N806" s="17">
        <f t="shared" si="12"/>
        <v>45051</v>
      </c>
      <c r="O806" t="str">
        <f>LEFT(Table1[[#This Row],[Department_Region]], FIND("-", Table1[[#This Row],[Department_Region]]) - 1)</f>
        <v>Finance</v>
      </c>
      <c r="P806" t="str">
        <f>RIGHT(Table1[[#This Row],[Department_Region]],LEN(Table1[[#This Row],[Department_Region]]) - FIND("-",Table1[[#This Row],[Department_Region]]))</f>
        <v>New York</v>
      </c>
      <c r="Q8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06" s="15"/>
    </row>
    <row r="807" spans="1:18" x14ac:dyDescent="0.2">
      <c r="A807" s="1">
        <v>805</v>
      </c>
      <c r="B807" s="6" t="s">
        <v>1364</v>
      </c>
      <c r="C807" t="s">
        <v>65</v>
      </c>
      <c r="D807" t="s">
        <v>20</v>
      </c>
      <c r="E807">
        <v>32</v>
      </c>
      <c r="F807" t="s">
        <v>148</v>
      </c>
      <c r="G807" t="s">
        <v>33</v>
      </c>
      <c r="H807" s="6" t="s">
        <v>1896</v>
      </c>
      <c r="I807" s="11">
        <v>63870.3</v>
      </c>
      <c r="J807" t="s">
        <v>410</v>
      </c>
      <c r="K807">
        <v>-8455259709</v>
      </c>
      <c r="L807" t="s">
        <v>23</v>
      </c>
      <c r="M807" t="b">
        <v>0</v>
      </c>
      <c r="N807" s="17">
        <f t="shared" si="12"/>
        <v>45505</v>
      </c>
      <c r="O807" t="str">
        <f>LEFT(Table1[[#This Row],[Department_Region]], FIND("-", Table1[[#This Row],[Department_Region]]) - 1)</f>
        <v>HR</v>
      </c>
      <c r="P807" t="str">
        <f>RIGHT(Table1[[#This Row],[Department_Region]],LEN(Table1[[#This Row],[Department_Region]]) - FIND("-",Table1[[#This Row],[Department_Region]]))</f>
        <v>California</v>
      </c>
      <c r="Q8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07" s="15"/>
    </row>
    <row r="808" spans="1:18" x14ac:dyDescent="0.2">
      <c r="A808" s="1">
        <v>806</v>
      </c>
      <c r="B808" s="6" t="s">
        <v>1365</v>
      </c>
      <c r="C808" t="s">
        <v>13</v>
      </c>
      <c r="D808" t="s">
        <v>43</v>
      </c>
      <c r="E808">
        <v>40</v>
      </c>
      <c r="F808" t="s">
        <v>110</v>
      </c>
      <c r="G808" t="s">
        <v>16</v>
      </c>
      <c r="H808" s="6" t="s">
        <v>1366</v>
      </c>
      <c r="I808" s="11">
        <v>106164.53</v>
      </c>
      <c r="J808" t="s">
        <v>155</v>
      </c>
      <c r="K808">
        <v>-7563353573</v>
      </c>
      <c r="L808" t="s">
        <v>30</v>
      </c>
      <c r="M808" t="b">
        <v>0</v>
      </c>
      <c r="N808" s="17">
        <f t="shared" si="12"/>
        <v>45495</v>
      </c>
      <c r="O808" t="str">
        <f>LEFT(Table1[[#This Row],[Department_Region]], FIND("-", Table1[[#This Row],[Department_Region]]) - 1)</f>
        <v>Sales</v>
      </c>
      <c r="P808" t="str">
        <f>RIGHT(Table1[[#This Row],[Department_Region]],LEN(Table1[[#This Row],[Department_Region]]) - FIND("-",Table1[[#This Row],[Department_Region]]))</f>
        <v>New York</v>
      </c>
      <c r="Q8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08" s="15"/>
    </row>
    <row r="809" spans="1:18" x14ac:dyDescent="0.2">
      <c r="A809" s="1">
        <v>807</v>
      </c>
      <c r="B809" s="6" t="s">
        <v>1367</v>
      </c>
      <c r="C809" t="s">
        <v>13</v>
      </c>
      <c r="D809" t="s">
        <v>124</v>
      </c>
      <c r="E809">
        <v>40</v>
      </c>
      <c r="F809" t="s">
        <v>151</v>
      </c>
      <c r="G809" t="s">
        <v>28</v>
      </c>
      <c r="H809" s="6" t="s">
        <v>728</v>
      </c>
      <c r="I809" s="11">
        <v>103654.54</v>
      </c>
      <c r="J809" t="s">
        <v>125</v>
      </c>
      <c r="K809">
        <v>-8595325938</v>
      </c>
      <c r="L809" t="s">
        <v>41</v>
      </c>
      <c r="M809" t="b">
        <v>0</v>
      </c>
      <c r="N809" s="17">
        <f t="shared" si="12"/>
        <v>45285</v>
      </c>
      <c r="O809" t="str">
        <f>LEFT(Table1[[#This Row],[Department_Region]], FIND("-", Table1[[#This Row],[Department_Region]]) - 1)</f>
        <v>HR</v>
      </c>
      <c r="P809" t="str">
        <f>RIGHT(Table1[[#This Row],[Department_Region]],LEN(Table1[[#This Row],[Department_Region]]) - FIND("-",Table1[[#This Row],[Department_Region]]))</f>
        <v>Nevada</v>
      </c>
      <c r="Q8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09" s="15"/>
    </row>
    <row r="810" spans="1:18" x14ac:dyDescent="0.2">
      <c r="A810" s="1">
        <v>808</v>
      </c>
      <c r="B810" s="6" t="s">
        <v>1368</v>
      </c>
      <c r="C810" t="s">
        <v>59</v>
      </c>
      <c r="D810" t="s">
        <v>93</v>
      </c>
      <c r="E810">
        <v>30</v>
      </c>
      <c r="F810" t="s">
        <v>180</v>
      </c>
      <c r="G810" t="s">
        <v>33</v>
      </c>
      <c r="H810" s="6" t="s">
        <v>1369</v>
      </c>
      <c r="I810" s="11">
        <v>62834.720000000001</v>
      </c>
      <c r="J810" t="s">
        <v>108</v>
      </c>
      <c r="K810">
        <v>-9337970580</v>
      </c>
      <c r="L810" t="s">
        <v>30</v>
      </c>
      <c r="M810" t="b">
        <v>1</v>
      </c>
      <c r="N810" s="17">
        <f t="shared" si="12"/>
        <v>44633</v>
      </c>
      <c r="O810" t="str">
        <f>LEFT(Table1[[#This Row],[Department_Region]], FIND("-", Table1[[#This Row],[Department_Region]]) - 1)</f>
        <v>Sales</v>
      </c>
      <c r="P810" t="str">
        <f>RIGHT(Table1[[#This Row],[Department_Region]],LEN(Table1[[#This Row],[Department_Region]]) - FIND("-",Table1[[#This Row],[Department_Region]]))</f>
        <v>California</v>
      </c>
      <c r="Q8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0" s="15"/>
    </row>
    <row r="811" spans="1:18" x14ac:dyDescent="0.2">
      <c r="A811" s="1">
        <v>809</v>
      </c>
      <c r="B811" s="6" t="s">
        <v>1370</v>
      </c>
      <c r="C811" t="s">
        <v>37</v>
      </c>
      <c r="D811" t="s">
        <v>26</v>
      </c>
      <c r="E811">
        <v>35</v>
      </c>
      <c r="F811" t="s">
        <v>113</v>
      </c>
      <c r="G811" t="s">
        <v>16</v>
      </c>
      <c r="H811" s="6" t="s">
        <v>1371</v>
      </c>
      <c r="I811" s="11">
        <v>83273.41</v>
      </c>
      <c r="J811" t="s">
        <v>47</v>
      </c>
      <c r="K811">
        <v>-6295187793</v>
      </c>
      <c r="L811" t="s">
        <v>23</v>
      </c>
      <c r="M811" t="b">
        <v>0</v>
      </c>
      <c r="N811" s="17">
        <f t="shared" si="12"/>
        <v>43964</v>
      </c>
      <c r="O811" t="str">
        <f>LEFT(Table1[[#This Row],[Department_Region]], FIND("-", Table1[[#This Row],[Department_Region]]) - 1)</f>
        <v>Finance</v>
      </c>
      <c r="P811" t="str">
        <f>RIGHT(Table1[[#This Row],[Department_Region]],LEN(Table1[[#This Row],[Department_Region]]) - FIND("-",Table1[[#This Row],[Department_Region]]))</f>
        <v>Florida</v>
      </c>
      <c r="Q8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1" s="15"/>
    </row>
    <row r="812" spans="1:18" x14ac:dyDescent="0.2">
      <c r="A812" s="1">
        <v>810</v>
      </c>
      <c r="B812" s="6" t="s">
        <v>1372</v>
      </c>
      <c r="C812" t="s">
        <v>65</v>
      </c>
      <c r="D812" t="s">
        <v>38</v>
      </c>
      <c r="E812">
        <v>30</v>
      </c>
      <c r="F812" t="s">
        <v>148</v>
      </c>
      <c r="G812" t="s">
        <v>28</v>
      </c>
      <c r="H812" s="6" t="s">
        <v>1373</v>
      </c>
      <c r="I812" s="11">
        <v>58917.58</v>
      </c>
      <c r="J812" t="s">
        <v>67</v>
      </c>
      <c r="K812">
        <v>-1763425072</v>
      </c>
      <c r="L812" t="s">
        <v>30</v>
      </c>
      <c r="M812" t="b">
        <v>0</v>
      </c>
      <c r="N812" s="17">
        <f t="shared" si="12"/>
        <v>45007</v>
      </c>
      <c r="O812" t="str">
        <f>LEFT(Table1[[#This Row],[Department_Region]], FIND("-", Table1[[#This Row],[Department_Region]]) - 1)</f>
        <v>HR</v>
      </c>
      <c r="P812" t="str">
        <f>RIGHT(Table1[[#This Row],[Department_Region]],LEN(Table1[[#This Row],[Department_Region]]) - FIND("-",Table1[[#This Row],[Department_Region]]))</f>
        <v>California</v>
      </c>
      <c r="Q8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2" s="15"/>
    </row>
    <row r="813" spans="1:18" x14ac:dyDescent="0.2">
      <c r="A813" s="1">
        <v>811</v>
      </c>
      <c r="B813" s="6" t="s">
        <v>1374</v>
      </c>
      <c r="C813" t="s">
        <v>13</v>
      </c>
      <c r="D813" t="s">
        <v>38</v>
      </c>
      <c r="E813">
        <v>35</v>
      </c>
      <c r="F813" t="s">
        <v>222</v>
      </c>
      <c r="G813" t="s">
        <v>16</v>
      </c>
      <c r="H813" s="6" t="s">
        <v>1682</v>
      </c>
      <c r="I813" s="11">
        <v>71148.27</v>
      </c>
      <c r="J813" t="s">
        <v>146</v>
      </c>
      <c r="K813">
        <v>-3055978244</v>
      </c>
      <c r="L813" t="s">
        <v>23</v>
      </c>
      <c r="M813" t="b">
        <v>1</v>
      </c>
      <c r="N813" s="17">
        <f t="shared" si="12"/>
        <v>45453</v>
      </c>
      <c r="O813" t="str">
        <f>LEFT(Table1[[#This Row],[Department_Region]], FIND("-", Table1[[#This Row],[Department_Region]]) - 1)</f>
        <v>Sales</v>
      </c>
      <c r="P813" t="str">
        <f>RIGHT(Table1[[#This Row],[Department_Region]],LEN(Table1[[#This Row],[Department_Region]]) - FIND("-",Table1[[#This Row],[Department_Region]]))</f>
        <v>Nevada</v>
      </c>
      <c r="Q8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3" s="15"/>
    </row>
    <row r="814" spans="1:18" x14ac:dyDescent="0.2">
      <c r="A814" s="1">
        <v>812</v>
      </c>
      <c r="B814" s="6" t="s">
        <v>1375</v>
      </c>
      <c r="C814" t="s">
        <v>69</v>
      </c>
      <c r="D814" t="s">
        <v>124</v>
      </c>
      <c r="E814">
        <v>30</v>
      </c>
      <c r="F814" t="s">
        <v>110</v>
      </c>
      <c r="G814" t="s">
        <v>28</v>
      </c>
      <c r="H814" s="6" t="s">
        <v>1376</v>
      </c>
      <c r="I814" s="11">
        <v>118172.42</v>
      </c>
      <c r="J814" t="s">
        <v>137</v>
      </c>
      <c r="K814">
        <v>-7598339913</v>
      </c>
      <c r="L814" t="s">
        <v>41</v>
      </c>
      <c r="M814" t="b">
        <v>1</v>
      </c>
      <c r="N814" s="17">
        <f t="shared" si="12"/>
        <v>44156</v>
      </c>
      <c r="O814" t="str">
        <f>LEFT(Table1[[#This Row],[Department_Region]], FIND("-", Table1[[#This Row],[Department_Region]]) - 1)</f>
        <v>Sales</v>
      </c>
      <c r="P814" t="str">
        <f>RIGHT(Table1[[#This Row],[Department_Region]],LEN(Table1[[#This Row],[Department_Region]]) - FIND("-",Table1[[#This Row],[Department_Region]]))</f>
        <v>New York</v>
      </c>
      <c r="Q8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14" s="15"/>
    </row>
    <row r="815" spans="1:18" x14ac:dyDescent="0.2">
      <c r="A815" s="1">
        <v>813</v>
      </c>
      <c r="B815" s="6" t="s">
        <v>1377</v>
      </c>
      <c r="C815" t="s">
        <v>37</v>
      </c>
      <c r="D815" t="s">
        <v>20</v>
      </c>
      <c r="E815">
        <v>30</v>
      </c>
      <c r="F815" t="s">
        <v>79</v>
      </c>
      <c r="G815" t="s">
        <v>33</v>
      </c>
      <c r="H815" s="6" t="s">
        <v>1011</v>
      </c>
      <c r="I815" s="11">
        <v>118614.37</v>
      </c>
      <c r="J815" t="s">
        <v>243</v>
      </c>
      <c r="K815">
        <v>-388436603</v>
      </c>
      <c r="L815" t="s">
        <v>18</v>
      </c>
      <c r="M815" t="b">
        <v>0</v>
      </c>
      <c r="N815" s="17">
        <f t="shared" si="12"/>
        <v>45437</v>
      </c>
      <c r="O815" t="str">
        <f>LEFT(Table1[[#This Row],[Department_Region]], FIND("-", Table1[[#This Row],[Department_Region]]) - 1)</f>
        <v>DevOps</v>
      </c>
      <c r="P815" t="str">
        <f>RIGHT(Table1[[#This Row],[Department_Region]],LEN(Table1[[#This Row],[Department_Region]]) - FIND("-",Table1[[#This Row],[Department_Region]]))</f>
        <v>Illinois</v>
      </c>
      <c r="Q8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5" s="15"/>
    </row>
    <row r="816" spans="1:18" x14ac:dyDescent="0.2">
      <c r="A816" s="1">
        <v>814</v>
      </c>
      <c r="B816" s="6" t="s">
        <v>1378</v>
      </c>
      <c r="C816" t="s">
        <v>37</v>
      </c>
      <c r="D816" t="s">
        <v>20</v>
      </c>
      <c r="E816">
        <v>32</v>
      </c>
      <c r="F816" t="s">
        <v>56</v>
      </c>
      <c r="G816" t="s">
        <v>16</v>
      </c>
      <c r="H816" s="6" t="s">
        <v>1379</v>
      </c>
      <c r="I816" s="11">
        <v>96872.36</v>
      </c>
      <c r="J816" t="s">
        <v>243</v>
      </c>
      <c r="K816">
        <v>-4324006156</v>
      </c>
      <c r="L816" t="s">
        <v>41</v>
      </c>
      <c r="M816" t="b">
        <v>0</v>
      </c>
      <c r="N816" s="17">
        <f t="shared" si="12"/>
        <v>45188</v>
      </c>
      <c r="O816" t="str">
        <f>LEFT(Table1[[#This Row],[Department_Region]], FIND("-", Table1[[#This Row],[Department_Region]]) - 1)</f>
        <v>DevOps</v>
      </c>
      <c r="P816" t="str">
        <f>RIGHT(Table1[[#This Row],[Department_Region]],LEN(Table1[[#This Row],[Department_Region]]) - FIND("-",Table1[[#This Row],[Department_Region]]))</f>
        <v>New York</v>
      </c>
      <c r="Q8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6" s="15"/>
    </row>
    <row r="817" spans="1:18" x14ac:dyDescent="0.2">
      <c r="A817" s="1">
        <v>815</v>
      </c>
      <c r="B817" s="6" t="s">
        <v>1380</v>
      </c>
      <c r="C817" t="s">
        <v>65</v>
      </c>
      <c r="D817" t="s">
        <v>26</v>
      </c>
      <c r="E817">
        <v>25</v>
      </c>
      <c r="F817" t="s">
        <v>99</v>
      </c>
      <c r="G817" t="s">
        <v>33</v>
      </c>
      <c r="H817" s="6" t="s">
        <v>1381</v>
      </c>
      <c r="I817" s="11">
        <v>88856.14</v>
      </c>
      <c r="J817" t="s">
        <v>324</v>
      </c>
      <c r="K817">
        <v>-2768297513</v>
      </c>
      <c r="L817" t="s">
        <v>30</v>
      </c>
      <c r="M817" t="b">
        <v>1</v>
      </c>
      <c r="N817" s="17">
        <f t="shared" si="12"/>
        <v>44497</v>
      </c>
      <c r="O817" t="str">
        <f>LEFT(Table1[[#This Row],[Department_Region]], FIND("-", Table1[[#This Row],[Department_Region]]) - 1)</f>
        <v>Sales</v>
      </c>
      <c r="P817" t="str">
        <f>RIGHT(Table1[[#This Row],[Department_Region]],LEN(Table1[[#This Row],[Department_Region]]) - FIND("-",Table1[[#This Row],[Department_Region]]))</f>
        <v>Illinois</v>
      </c>
      <c r="Q8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7" s="15"/>
    </row>
    <row r="818" spans="1:18" x14ac:dyDescent="0.2">
      <c r="A818" s="1">
        <v>816</v>
      </c>
      <c r="B818" s="6" t="s">
        <v>1382</v>
      </c>
      <c r="C818" t="s">
        <v>54</v>
      </c>
      <c r="D818" t="s">
        <v>124</v>
      </c>
      <c r="E818">
        <v>35</v>
      </c>
      <c r="F818" t="s">
        <v>21</v>
      </c>
      <c r="G818" t="s">
        <v>28</v>
      </c>
      <c r="H818" s="6" t="s">
        <v>1698</v>
      </c>
      <c r="I818" s="11">
        <v>97985.61</v>
      </c>
      <c r="J818" t="s">
        <v>197</v>
      </c>
      <c r="K818">
        <v>-7439742924</v>
      </c>
      <c r="L818" t="s">
        <v>30</v>
      </c>
      <c r="M818" t="b">
        <v>0</v>
      </c>
      <c r="N818" s="17">
        <f t="shared" si="12"/>
        <v>44053</v>
      </c>
      <c r="O818" t="str">
        <f>LEFT(Table1[[#This Row],[Department_Region]], FIND("-", Table1[[#This Row],[Department_Region]]) - 1)</f>
        <v>Finance</v>
      </c>
      <c r="P818" t="str">
        <f>RIGHT(Table1[[#This Row],[Department_Region]],LEN(Table1[[#This Row],[Department_Region]]) - FIND("-",Table1[[#This Row],[Department_Region]]))</f>
        <v>Texas</v>
      </c>
      <c r="Q8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18" s="15"/>
    </row>
    <row r="819" spans="1:18" x14ac:dyDescent="0.2">
      <c r="A819" s="1">
        <v>817</v>
      </c>
      <c r="B819" s="6" t="s">
        <v>1383</v>
      </c>
      <c r="C819" t="s">
        <v>69</v>
      </c>
      <c r="D819" t="s">
        <v>38</v>
      </c>
      <c r="E819">
        <v>35</v>
      </c>
      <c r="F819" t="s">
        <v>101</v>
      </c>
      <c r="G819" t="s">
        <v>28</v>
      </c>
      <c r="H819" s="6" t="s">
        <v>1897</v>
      </c>
      <c r="I819" s="11">
        <v>56337.31</v>
      </c>
      <c r="J819" t="s">
        <v>72</v>
      </c>
      <c r="K819">
        <v>-105875255</v>
      </c>
      <c r="L819" t="s">
        <v>41</v>
      </c>
      <c r="M819" t="b">
        <v>1</v>
      </c>
      <c r="N819" s="17">
        <f t="shared" si="12"/>
        <v>43956</v>
      </c>
      <c r="O819" t="str">
        <f>LEFT(Table1[[#This Row],[Department_Region]], FIND("-", Table1[[#This Row],[Department_Region]]) - 1)</f>
        <v>Finance</v>
      </c>
      <c r="P819" t="str">
        <f>RIGHT(Table1[[#This Row],[Department_Region]],LEN(Table1[[#This Row],[Department_Region]]) - FIND("-",Table1[[#This Row],[Department_Region]]))</f>
        <v>Nevada</v>
      </c>
      <c r="Q8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19" s="15"/>
    </row>
    <row r="820" spans="1:18" x14ac:dyDescent="0.2">
      <c r="A820" s="1">
        <v>818</v>
      </c>
      <c r="B820" s="6" t="s">
        <v>1384</v>
      </c>
      <c r="C820" t="s">
        <v>25</v>
      </c>
      <c r="D820" t="s">
        <v>20</v>
      </c>
      <c r="E820">
        <v>30</v>
      </c>
      <c r="F820" t="s">
        <v>56</v>
      </c>
      <c r="G820" t="s">
        <v>33</v>
      </c>
      <c r="H820" s="6" t="s">
        <v>1385</v>
      </c>
      <c r="I820" s="11">
        <v>70405.23</v>
      </c>
      <c r="J820" t="s">
        <v>81</v>
      </c>
      <c r="K820">
        <v>-8065625903</v>
      </c>
      <c r="L820" t="s">
        <v>41</v>
      </c>
      <c r="M820" t="b">
        <v>1</v>
      </c>
      <c r="N820" s="17">
        <f t="shared" si="12"/>
        <v>44919</v>
      </c>
      <c r="O820" t="str">
        <f>LEFT(Table1[[#This Row],[Department_Region]], FIND("-", Table1[[#This Row],[Department_Region]]) - 1)</f>
        <v>DevOps</v>
      </c>
      <c r="P820" t="str">
        <f>RIGHT(Table1[[#This Row],[Department_Region]],LEN(Table1[[#This Row],[Department_Region]]) - FIND("-",Table1[[#This Row],[Department_Region]]))</f>
        <v>New York</v>
      </c>
      <c r="Q8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20" s="15"/>
    </row>
    <row r="821" spans="1:18" x14ac:dyDescent="0.2">
      <c r="A821" s="1">
        <v>819</v>
      </c>
      <c r="B821" s="6" t="s">
        <v>1386</v>
      </c>
      <c r="C821" t="s">
        <v>65</v>
      </c>
      <c r="D821" t="s">
        <v>124</v>
      </c>
      <c r="E821">
        <v>30</v>
      </c>
      <c r="F821" t="s">
        <v>27</v>
      </c>
      <c r="G821" t="s">
        <v>33</v>
      </c>
      <c r="H821" s="6" t="s">
        <v>1898</v>
      </c>
      <c r="I821" s="11">
        <v>89919.35</v>
      </c>
      <c r="J821" t="s">
        <v>372</v>
      </c>
      <c r="K821">
        <v>-5990802710</v>
      </c>
      <c r="L821" t="s">
        <v>23</v>
      </c>
      <c r="M821" t="b">
        <v>1</v>
      </c>
      <c r="N821" s="17">
        <f t="shared" si="12"/>
        <v>44444</v>
      </c>
      <c r="O821" t="str">
        <f>LEFT(Table1[[#This Row],[Department_Region]], FIND("-", Table1[[#This Row],[Department_Region]]) - 1)</f>
        <v>Admin</v>
      </c>
      <c r="P821" t="str">
        <f>RIGHT(Table1[[#This Row],[Department_Region]],LEN(Table1[[#This Row],[Department_Region]]) - FIND("-",Table1[[#This Row],[Department_Region]]))</f>
        <v>Nevada</v>
      </c>
      <c r="Q8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21" s="15"/>
    </row>
    <row r="822" spans="1:18" x14ac:dyDescent="0.2">
      <c r="A822" s="1">
        <v>820</v>
      </c>
      <c r="B822" s="6" t="s">
        <v>1387</v>
      </c>
      <c r="C822" t="s">
        <v>32</v>
      </c>
      <c r="D822" t="s">
        <v>14</v>
      </c>
      <c r="E822">
        <v>40</v>
      </c>
      <c r="F822" t="s">
        <v>15</v>
      </c>
      <c r="G822" t="s">
        <v>16</v>
      </c>
      <c r="H822" s="6" t="s">
        <v>1853</v>
      </c>
      <c r="I822" s="11">
        <v>50568.35</v>
      </c>
      <c r="J822" t="s">
        <v>35</v>
      </c>
      <c r="K822">
        <v>-2218231554</v>
      </c>
      <c r="L822" t="s">
        <v>30</v>
      </c>
      <c r="M822" t="b">
        <v>1</v>
      </c>
      <c r="N822" s="17">
        <f t="shared" si="12"/>
        <v>45024</v>
      </c>
      <c r="O822" t="str">
        <f>LEFT(Table1[[#This Row],[Department_Region]], FIND("-", Table1[[#This Row],[Department_Region]]) - 1)</f>
        <v>DevOps</v>
      </c>
      <c r="P822" t="str">
        <f>RIGHT(Table1[[#This Row],[Department_Region]],LEN(Table1[[#This Row],[Department_Region]]) - FIND("-",Table1[[#This Row],[Department_Region]]))</f>
        <v>California</v>
      </c>
      <c r="Q8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22" s="15"/>
    </row>
    <row r="823" spans="1:18" x14ac:dyDescent="0.2">
      <c r="A823" s="1">
        <v>821</v>
      </c>
      <c r="B823" s="6" t="s">
        <v>1388</v>
      </c>
      <c r="C823" t="s">
        <v>69</v>
      </c>
      <c r="D823" t="s">
        <v>20</v>
      </c>
      <c r="E823">
        <v>30</v>
      </c>
      <c r="F823" t="s">
        <v>141</v>
      </c>
      <c r="G823" t="s">
        <v>33</v>
      </c>
      <c r="H823" s="6" t="s">
        <v>1389</v>
      </c>
      <c r="I823" s="11">
        <v>85165.05</v>
      </c>
      <c r="J823" t="s">
        <v>204</v>
      </c>
      <c r="K823">
        <v>-1651768085</v>
      </c>
      <c r="L823" t="s">
        <v>30</v>
      </c>
      <c r="M823" t="b">
        <v>0</v>
      </c>
      <c r="N823" s="17">
        <f t="shared" si="12"/>
        <v>44955</v>
      </c>
      <c r="O823" t="str">
        <f>LEFT(Table1[[#This Row],[Department_Region]], FIND("-", Table1[[#This Row],[Department_Region]]) - 1)</f>
        <v>HR</v>
      </c>
      <c r="P823" t="str">
        <f>RIGHT(Table1[[#This Row],[Department_Region]],LEN(Table1[[#This Row],[Department_Region]]) - FIND("-",Table1[[#This Row],[Department_Region]]))</f>
        <v>Texas</v>
      </c>
      <c r="Q8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23" s="15"/>
    </row>
    <row r="824" spans="1:18" x14ac:dyDescent="0.2">
      <c r="A824" s="1">
        <v>822</v>
      </c>
      <c r="B824" s="6" t="s">
        <v>1390</v>
      </c>
      <c r="C824" t="s">
        <v>37</v>
      </c>
      <c r="D824" t="s">
        <v>93</v>
      </c>
      <c r="E824">
        <v>25</v>
      </c>
      <c r="F824" t="s">
        <v>141</v>
      </c>
      <c r="G824" t="s">
        <v>16</v>
      </c>
      <c r="H824" s="6" t="s">
        <v>1899</v>
      </c>
      <c r="I824" s="11">
        <v>99155.53</v>
      </c>
      <c r="J824" t="s">
        <v>111</v>
      </c>
      <c r="K824">
        <v>-6281372142</v>
      </c>
      <c r="L824" t="s">
        <v>41</v>
      </c>
      <c r="M824" t="b">
        <v>1</v>
      </c>
      <c r="N824" s="17">
        <f t="shared" si="12"/>
        <v>44715</v>
      </c>
      <c r="O824" t="str">
        <f>LEFT(Table1[[#This Row],[Department_Region]], FIND("-", Table1[[#This Row],[Department_Region]]) - 1)</f>
        <v>HR</v>
      </c>
      <c r="P824" t="str">
        <f>RIGHT(Table1[[#This Row],[Department_Region]],LEN(Table1[[#This Row],[Department_Region]]) - FIND("-",Table1[[#This Row],[Department_Region]]))</f>
        <v>Texas</v>
      </c>
      <c r="Q8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24" s="15"/>
    </row>
    <row r="825" spans="1:18" x14ac:dyDescent="0.2">
      <c r="A825" s="1">
        <v>823</v>
      </c>
      <c r="B825" s="6" t="s">
        <v>1391</v>
      </c>
      <c r="C825" t="s">
        <v>37</v>
      </c>
      <c r="D825" t="s">
        <v>14</v>
      </c>
      <c r="E825">
        <v>40</v>
      </c>
      <c r="F825" t="s">
        <v>113</v>
      </c>
      <c r="G825" t="s">
        <v>33</v>
      </c>
      <c r="H825" s="6" t="s">
        <v>1392</v>
      </c>
      <c r="I825" s="11">
        <v>64785.13</v>
      </c>
      <c r="J825" t="s">
        <v>52</v>
      </c>
      <c r="K825">
        <v>-3080037002</v>
      </c>
      <c r="L825" t="s">
        <v>18</v>
      </c>
      <c r="M825" t="b">
        <v>1</v>
      </c>
      <c r="N825" s="17">
        <f t="shared" si="12"/>
        <v>44947</v>
      </c>
      <c r="O825" t="str">
        <f>LEFT(Table1[[#This Row],[Department_Region]], FIND("-", Table1[[#This Row],[Department_Region]]) - 1)</f>
        <v>Finance</v>
      </c>
      <c r="P825" t="str">
        <f>RIGHT(Table1[[#This Row],[Department_Region]],LEN(Table1[[#This Row],[Department_Region]]) - FIND("-",Table1[[#This Row],[Department_Region]]))</f>
        <v>Florida</v>
      </c>
      <c r="Q8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25" s="15"/>
    </row>
    <row r="826" spans="1:18" x14ac:dyDescent="0.2">
      <c r="A826" s="1">
        <v>824</v>
      </c>
      <c r="B826" s="6" t="s">
        <v>1393</v>
      </c>
      <c r="C826" t="s">
        <v>54</v>
      </c>
      <c r="D826" t="s">
        <v>43</v>
      </c>
      <c r="E826">
        <v>30</v>
      </c>
      <c r="F826" t="s">
        <v>75</v>
      </c>
      <c r="G826" t="s">
        <v>33</v>
      </c>
      <c r="H826" s="6" t="s">
        <v>213</v>
      </c>
      <c r="I826" s="11">
        <v>79206.48</v>
      </c>
      <c r="J826" t="s">
        <v>88</v>
      </c>
      <c r="K826">
        <v>-3228556607</v>
      </c>
      <c r="L826" t="s">
        <v>30</v>
      </c>
      <c r="M826" t="b">
        <v>0</v>
      </c>
      <c r="N826" s="17">
        <f t="shared" si="12"/>
        <v>45551</v>
      </c>
      <c r="O826" t="str">
        <f>LEFT(Table1[[#This Row],[Department_Region]], FIND("-", Table1[[#This Row],[Department_Region]]) - 1)</f>
        <v>Sales</v>
      </c>
      <c r="P826" t="str">
        <f>RIGHT(Table1[[#This Row],[Department_Region]],LEN(Table1[[#This Row],[Department_Region]]) - FIND("-",Table1[[#This Row],[Department_Region]]))</f>
        <v>Florida</v>
      </c>
      <c r="Q8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26" s="15"/>
    </row>
    <row r="827" spans="1:18" x14ac:dyDescent="0.2">
      <c r="A827" s="1">
        <v>825</v>
      </c>
      <c r="B827" s="6" t="s">
        <v>1394</v>
      </c>
      <c r="C827" t="s">
        <v>54</v>
      </c>
      <c r="D827" t="s">
        <v>20</v>
      </c>
      <c r="E827">
        <v>30</v>
      </c>
      <c r="F827" t="s">
        <v>161</v>
      </c>
      <c r="G827" t="s">
        <v>28</v>
      </c>
      <c r="H827" s="6" t="s">
        <v>1900</v>
      </c>
      <c r="I827" s="11">
        <v>60079.71</v>
      </c>
      <c r="J827" t="s">
        <v>127</v>
      </c>
      <c r="K827">
        <v>-4706810389</v>
      </c>
      <c r="L827" t="s">
        <v>18</v>
      </c>
      <c r="M827" t="b">
        <v>1</v>
      </c>
      <c r="N827" s="17">
        <f t="shared" si="12"/>
        <v>43863</v>
      </c>
      <c r="O827" t="str">
        <f>LEFT(Table1[[#This Row],[Department_Region]], FIND("-", Table1[[#This Row],[Department_Region]]) - 1)</f>
        <v>Cloud Tech</v>
      </c>
      <c r="P827" t="str">
        <f>RIGHT(Table1[[#This Row],[Department_Region]],LEN(Table1[[#This Row],[Department_Region]]) - FIND("-",Table1[[#This Row],[Department_Region]]))</f>
        <v>Texas</v>
      </c>
      <c r="Q8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27" s="15"/>
    </row>
    <row r="828" spans="1:18" x14ac:dyDescent="0.2">
      <c r="A828" s="1">
        <v>826</v>
      </c>
      <c r="B828" s="6" t="s">
        <v>1395</v>
      </c>
      <c r="C828" t="s">
        <v>69</v>
      </c>
      <c r="D828" t="s">
        <v>38</v>
      </c>
      <c r="E828">
        <v>30</v>
      </c>
      <c r="F828" t="s">
        <v>60</v>
      </c>
      <c r="G828" t="s">
        <v>28</v>
      </c>
      <c r="H828" s="6" t="s">
        <v>1901</v>
      </c>
      <c r="I828" s="11">
        <v>79109.88</v>
      </c>
      <c r="J828" t="s">
        <v>72</v>
      </c>
      <c r="K828">
        <v>-3397051957</v>
      </c>
      <c r="L828" t="s">
        <v>41</v>
      </c>
      <c r="M828" t="b">
        <v>0</v>
      </c>
      <c r="N828" s="17">
        <f t="shared" si="12"/>
        <v>45481</v>
      </c>
      <c r="O828" t="str">
        <f>LEFT(Table1[[#This Row],[Department_Region]], FIND("-", Table1[[#This Row],[Department_Region]]) - 1)</f>
        <v>Cloud Tech</v>
      </c>
      <c r="P828" t="str">
        <f>RIGHT(Table1[[#This Row],[Department_Region]],LEN(Table1[[#This Row],[Department_Region]]) - FIND("-",Table1[[#This Row],[Department_Region]]))</f>
        <v>New York</v>
      </c>
      <c r="Q8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28" s="15"/>
    </row>
    <row r="829" spans="1:18" x14ac:dyDescent="0.2">
      <c r="A829" s="1">
        <v>827</v>
      </c>
      <c r="B829" s="6" t="s">
        <v>1396</v>
      </c>
      <c r="C829" t="s">
        <v>69</v>
      </c>
      <c r="D829" t="s">
        <v>55</v>
      </c>
      <c r="E829">
        <v>32</v>
      </c>
      <c r="F829" t="s">
        <v>208</v>
      </c>
      <c r="G829" t="s">
        <v>28</v>
      </c>
      <c r="H829" s="6" t="s">
        <v>1397</v>
      </c>
      <c r="I829" s="11">
        <v>88643.5</v>
      </c>
      <c r="J829" t="s">
        <v>129</v>
      </c>
      <c r="K829">
        <v>-2632809447</v>
      </c>
      <c r="L829" t="s">
        <v>41</v>
      </c>
      <c r="M829" t="b">
        <v>0</v>
      </c>
      <c r="N829" s="17">
        <f t="shared" si="12"/>
        <v>44699</v>
      </c>
      <c r="O829" t="str">
        <f>LEFT(Table1[[#This Row],[Department_Region]], FIND("-", Table1[[#This Row],[Department_Region]]) - 1)</f>
        <v>Admin</v>
      </c>
      <c r="P829" t="str">
        <f>RIGHT(Table1[[#This Row],[Department_Region]],LEN(Table1[[#This Row],[Department_Region]]) - FIND("-",Table1[[#This Row],[Department_Region]]))</f>
        <v>Florida</v>
      </c>
      <c r="Q8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29" s="15"/>
    </row>
    <row r="830" spans="1:18" x14ac:dyDescent="0.2">
      <c r="A830" s="1">
        <v>828</v>
      </c>
      <c r="B830" s="6" t="s">
        <v>1398</v>
      </c>
      <c r="C830" t="s">
        <v>37</v>
      </c>
      <c r="D830" t="s">
        <v>14</v>
      </c>
      <c r="E830">
        <v>30</v>
      </c>
      <c r="F830" t="s">
        <v>208</v>
      </c>
      <c r="G830" t="s">
        <v>28</v>
      </c>
      <c r="H830" s="6" t="s">
        <v>1399</v>
      </c>
      <c r="I830" s="11">
        <v>90455.7</v>
      </c>
      <c r="J830" t="s">
        <v>52</v>
      </c>
      <c r="K830">
        <v>-5862394534</v>
      </c>
      <c r="L830" t="s">
        <v>23</v>
      </c>
      <c r="M830" t="b">
        <v>0</v>
      </c>
      <c r="N830" s="17">
        <f t="shared" si="12"/>
        <v>43846</v>
      </c>
      <c r="O830" t="str">
        <f>LEFT(Table1[[#This Row],[Department_Region]], FIND("-", Table1[[#This Row],[Department_Region]]) - 1)</f>
        <v>Admin</v>
      </c>
      <c r="P830" t="str">
        <f>RIGHT(Table1[[#This Row],[Department_Region]],LEN(Table1[[#This Row],[Department_Region]]) - FIND("-",Table1[[#This Row],[Department_Region]]))</f>
        <v>Florida</v>
      </c>
      <c r="Q8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30" s="15"/>
    </row>
    <row r="831" spans="1:18" x14ac:dyDescent="0.2">
      <c r="A831" s="1">
        <v>829</v>
      </c>
      <c r="B831" s="6" t="s">
        <v>1400</v>
      </c>
      <c r="C831" t="s">
        <v>59</v>
      </c>
      <c r="D831" t="s">
        <v>43</v>
      </c>
      <c r="E831">
        <v>32</v>
      </c>
      <c r="F831" t="s">
        <v>215</v>
      </c>
      <c r="G831" t="s">
        <v>28</v>
      </c>
      <c r="H831" s="6" t="s">
        <v>1401</v>
      </c>
      <c r="I831" s="11">
        <v>75687.899999999994</v>
      </c>
      <c r="J831" t="s">
        <v>102</v>
      </c>
      <c r="K831">
        <v>-4614707985</v>
      </c>
      <c r="L831" t="s">
        <v>30</v>
      </c>
      <c r="M831" t="b">
        <v>1</v>
      </c>
      <c r="N831" s="17">
        <f t="shared" si="12"/>
        <v>45011</v>
      </c>
      <c r="O831" t="str">
        <f>LEFT(Table1[[#This Row],[Department_Region]], FIND("-", Table1[[#This Row],[Department_Region]]) - 1)</f>
        <v>HR</v>
      </c>
      <c r="P831" t="str">
        <f>RIGHT(Table1[[#This Row],[Department_Region]],LEN(Table1[[#This Row],[Department_Region]]) - FIND("-",Table1[[#This Row],[Department_Region]]))</f>
        <v>Florida</v>
      </c>
      <c r="Q8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31" s="15"/>
    </row>
    <row r="832" spans="1:18" x14ac:dyDescent="0.2">
      <c r="A832" s="1">
        <v>830</v>
      </c>
      <c r="B832" s="6" t="s">
        <v>1402</v>
      </c>
      <c r="C832" t="s">
        <v>65</v>
      </c>
      <c r="D832" t="s">
        <v>26</v>
      </c>
      <c r="E832">
        <v>35</v>
      </c>
      <c r="F832" t="s">
        <v>96</v>
      </c>
      <c r="G832" t="s">
        <v>33</v>
      </c>
      <c r="H832" s="6" t="s">
        <v>270</v>
      </c>
      <c r="I832" s="11">
        <v>55604.42</v>
      </c>
      <c r="J832" t="s">
        <v>324</v>
      </c>
      <c r="K832">
        <v>-3210613393</v>
      </c>
      <c r="L832" t="s">
        <v>18</v>
      </c>
      <c r="M832" t="b">
        <v>0</v>
      </c>
      <c r="N832" s="17">
        <f t="shared" si="12"/>
        <v>45245</v>
      </c>
      <c r="O832" t="str">
        <f>LEFT(Table1[[#This Row],[Department_Region]], FIND("-", Table1[[#This Row],[Department_Region]]) - 1)</f>
        <v>Cloud Tech</v>
      </c>
      <c r="P832" t="str">
        <f>RIGHT(Table1[[#This Row],[Department_Region]],LEN(Table1[[#This Row],[Department_Region]]) - FIND("-",Table1[[#This Row],[Department_Region]]))</f>
        <v>Illinois</v>
      </c>
      <c r="Q8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32" s="15"/>
    </row>
    <row r="833" spans="1:18" x14ac:dyDescent="0.2">
      <c r="A833" s="1">
        <v>831</v>
      </c>
      <c r="B833" s="6" t="s">
        <v>1403</v>
      </c>
      <c r="C833" t="s">
        <v>32</v>
      </c>
      <c r="D833" t="s">
        <v>26</v>
      </c>
      <c r="E833">
        <v>40</v>
      </c>
      <c r="F833" t="s">
        <v>44</v>
      </c>
      <c r="G833" t="s">
        <v>28</v>
      </c>
      <c r="H833" s="6" t="s">
        <v>1224</v>
      </c>
      <c r="I833" s="11">
        <v>92704.94</v>
      </c>
      <c r="J833" t="s">
        <v>281</v>
      </c>
      <c r="K833">
        <v>-3945703942</v>
      </c>
      <c r="L833" t="s">
        <v>23</v>
      </c>
      <c r="M833" t="b">
        <v>0</v>
      </c>
      <c r="N833" s="17">
        <f t="shared" si="12"/>
        <v>45653</v>
      </c>
      <c r="O833" t="str">
        <f>LEFT(Table1[[#This Row],[Department_Region]], FIND("-", Table1[[#This Row],[Department_Region]]) - 1)</f>
        <v>Sales</v>
      </c>
      <c r="P833" t="str">
        <f>RIGHT(Table1[[#This Row],[Department_Region]],LEN(Table1[[#This Row],[Department_Region]]) - FIND("-",Table1[[#This Row],[Department_Region]]))</f>
        <v>Texas</v>
      </c>
      <c r="Q8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33" s="15"/>
    </row>
    <row r="834" spans="1:18" x14ac:dyDescent="0.2">
      <c r="A834" s="1">
        <v>832</v>
      </c>
      <c r="B834" s="6" t="s">
        <v>1404</v>
      </c>
      <c r="C834" t="s">
        <v>13</v>
      </c>
      <c r="D834" t="s">
        <v>38</v>
      </c>
      <c r="E834">
        <v>32</v>
      </c>
      <c r="F834" t="s">
        <v>180</v>
      </c>
      <c r="G834" t="s">
        <v>28</v>
      </c>
      <c r="H834" s="6" t="s">
        <v>1268</v>
      </c>
      <c r="I834" s="11">
        <v>113250.97</v>
      </c>
      <c r="J834" t="s">
        <v>146</v>
      </c>
      <c r="K834">
        <v>-8040325375</v>
      </c>
      <c r="L834" t="s">
        <v>30</v>
      </c>
      <c r="M834" t="b">
        <v>1</v>
      </c>
      <c r="N834" s="17">
        <f t="shared" ref="N834:N897" si="13">IF(ISNUMBER(H834), H834, DATE(RIGHT(H834, 4), LEFT(H834, FIND("/", H834) - 1), MID(H834, FIND("/", H834) + 1, FIND("/", H834, FIND("/", H834) + 1) - FIND("/", H834) - 1)))</f>
        <v>43939</v>
      </c>
      <c r="O834" t="str">
        <f>LEFT(Table1[[#This Row],[Department_Region]], FIND("-", Table1[[#This Row],[Department_Region]]) - 1)</f>
        <v>Sales</v>
      </c>
      <c r="P834" t="str">
        <f>RIGHT(Table1[[#This Row],[Department_Region]],LEN(Table1[[#This Row],[Department_Region]]) - FIND("-",Table1[[#This Row],[Department_Region]]))</f>
        <v>California</v>
      </c>
      <c r="Q8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34" s="15"/>
    </row>
    <row r="835" spans="1:18" x14ac:dyDescent="0.2">
      <c r="A835" s="1">
        <v>833</v>
      </c>
      <c r="B835" s="6" t="s">
        <v>1405</v>
      </c>
      <c r="C835" t="s">
        <v>25</v>
      </c>
      <c r="D835" t="s">
        <v>20</v>
      </c>
      <c r="E835">
        <v>40</v>
      </c>
      <c r="F835" t="s">
        <v>269</v>
      </c>
      <c r="G835" t="s">
        <v>33</v>
      </c>
      <c r="H835" s="6" t="s">
        <v>1406</v>
      </c>
      <c r="I835" s="11">
        <v>101367.02</v>
      </c>
      <c r="J835" t="s">
        <v>81</v>
      </c>
      <c r="K835">
        <v>-5769277893</v>
      </c>
      <c r="L835" t="s">
        <v>23</v>
      </c>
      <c r="M835" t="b">
        <v>0</v>
      </c>
      <c r="N835" s="17">
        <f t="shared" si="13"/>
        <v>45006</v>
      </c>
      <c r="O835" t="str">
        <f>LEFT(Table1[[#This Row],[Department_Region]], FIND("-", Table1[[#This Row],[Department_Region]]) - 1)</f>
        <v>Finance</v>
      </c>
      <c r="P835" t="str">
        <f>RIGHT(Table1[[#This Row],[Department_Region]],LEN(Table1[[#This Row],[Department_Region]]) - FIND("-",Table1[[#This Row],[Department_Region]]))</f>
        <v>Illinois</v>
      </c>
      <c r="Q8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35" s="15"/>
    </row>
    <row r="836" spans="1:18" x14ac:dyDescent="0.2">
      <c r="A836" s="1">
        <v>834</v>
      </c>
      <c r="B836" s="6" t="s">
        <v>1407</v>
      </c>
      <c r="C836" t="s">
        <v>32</v>
      </c>
      <c r="D836" t="s">
        <v>124</v>
      </c>
      <c r="E836">
        <v>35</v>
      </c>
      <c r="F836" t="s">
        <v>104</v>
      </c>
      <c r="G836" t="s">
        <v>28</v>
      </c>
      <c r="H836" s="6" t="s">
        <v>1902</v>
      </c>
      <c r="I836" s="11">
        <v>102459.77</v>
      </c>
      <c r="J836" t="s">
        <v>529</v>
      </c>
      <c r="K836">
        <v>-3191009003</v>
      </c>
      <c r="L836" t="s">
        <v>41</v>
      </c>
      <c r="M836" t="b">
        <v>0</v>
      </c>
      <c r="N836" s="17">
        <f t="shared" si="13"/>
        <v>45054</v>
      </c>
      <c r="O836" t="str">
        <f>LEFT(Table1[[#This Row],[Department_Region]], FIND("-", Table1[[#This Row],[Department_Region]]) - 1)</f>
        <v>Admin</v>
      </c>
      <c r="P836" t="str">
        <f>RIGHT(Table1[[#This Row],[Department_Region]],LEN(Table1[[#This Row],[Department_Region]]) - FIND("-",Table1[[#This Row],[Department_Region]]))</f>
        <v>Texas</v>
      </c>
      <c r="Q8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36" s="15"/>
    </row>
    <row r="837" spans="1:18" x14ac:dyDescent="0.2">
      <c r="A837" s="1">
        <v>835</v>
      </c>
      <c r="B837" s="6" t="s">
        <v>1408</v>
      </c>
      <c r="C837" t="s">
        <v>32</v>
      </c>
      <c r="D837" t="s">
        <v>20</v>
      </c>
      <c r="E837">
        <v>25</v>
      </c>
      <c r="F837" t="s">
        <v>233</v>
      </c>
      <c r="G837" t="s">
        <v>28</v>
      </c>
      <c r="H837" s="6" t="s">
        <v>1409</v>
      </c>
      <c r="I837" s="11">
        <v>90100.2</v>
      </c>
      <c r="J837" t="s">
        <v>157</v>
      </c>
      <c r="K837">
        <v>-476921052</v>
      </c>
      <c r="L837" t="s">
        <v>30</v>
      </c>
      <c r="M837" t="b">
        <v>0</v>
      </c>
      <c r="N837" s="17">
        <f t="shared" si="13"/>
        <v>44177</v>
      </c>
      <c r="O837" t="str">
        <f>LEFT(Table1[[#This Row],[Department_Region]], FIND("-", Table1[[#This Row],[Department_Region]]) - 1)</f>
        <v>DevOps</v>
      </c>
      <c r="P837" t="str">
        <f>RIGHT(Table1[[#This Row],[Department_Region]],LEN(Table1[[#This Row],[Department_Region]]) - FIND("-",Table1[[#This Row],[Department_Region]]))</f>
        <v>Florida</v>
      </c>
      <c r="Q8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37" s="15"/>
    </row>
    <row r="838" spans="1:18" x14ac:dyDescent="0.2">
      <c r="A838" s="1">
        <v>836</v>
      </c>
      <c r="B838" s="6" t="s">
        <v>1410</v>
      </c>
      <c r="C838" t="s">
        <v>32</v>
      </c>
      <c r="D838" t="s">
        <v>38</v>
      </c>
      <c r="E838">
        <v>32</v>
      </c>
      <c r="F838" t="s">
        <v>272</v>
      </c>
      <c r="G838" t="s">
        <v>33</v>
      </c>
      <c r="H838" s="6" t="s">
        <v>1411</v>
      </c>
      <c r="I838" s="11">
        <v>58877.49</v>
      </c>
      <c r="J838" t="s">
        <v>143</v>
      </c>
      <c r="K838">
        <v>-3651460400</v>
      </c>
      <c r="L838" t="s">
        <v>23</v>
      </c>
      <c r="M838" t="b">
        <v>0</v>
      </c>
      <c r="N838" s="17">
        <f t="shared" si="13"/>
        <v>43999</v>
      </c>
      <c r="O838" t="str">
        <f>LEFT(Table1[[#This Row],[Department_Region]], FIND("-", Table1[[#This Row],[Department_Region]]) - 1)</f>
        <v>Cloud Tech</v>
      </c>
      <c r="P838" t="str">
        <f>RIGHT(Table1[[#This Row],[Department_Region]],LEN(Table1[[#This Row],[Department_Region]]) - FIND("-",Table1[[#This Row],[Department_Region]]))</f>
        <v>California</v>
      </c>
      <c r="Q8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38" s="15"/>
    </row>
    <row r="839" spans="1:18" x14ac:dyDescent="0.2">
      <c r="A839" s="1">
        <v>837</v>
      </c>
      <c r="B839" s="6" t="s">
        <v>1412</v>
      </c>
      <c r="C839" t="s">
        <v>32</v>
      </c>
      <c r="D839" t="s">
        <v>26</v>
      </c>
      <c r="E839">
        <v>35</v>
      </c>
      <c r="F839" t="s">
        <v>90</v>
      </c>
      <c r="G839" t="s">
        <v>33</v>
      </c>
      <c r="H839" s="6" t="s">
        <v>1413</v>
      </c>
      <c r="I839" s="11">
        <v>85165.05</v>
      </c>
      <c r="J839" t="s">
        <v>281</v>
      </c>
      <c r="K839">
        <v>-4247310719</v>
      </c>
      <c r="L839" t="s">
        <v>23</v>
      </c>
      <c r="M839" t="b">
        <v>0</v>
      </c>
      <c r="N839" s="17">
        <f t="shared" si="13"/>
        <v>44394</v>
      </c>
      <c r="O839" t="str">
        <f>LEFT(Table1[[#This Row],[Department_Region]], FIND("-", Table1[[#This Row],[Department_Region]]) - 1)</f>
        <v>Admin</v>
      </c>
      <c r="P839" t="str">
        <f>RIGHT(Table1[[#This Row],[Department_Region]],LEN(Table1[[#This Row],[Department_Region]]) - FIND("-",Table1[[#This Row],[Department_Region]]))</f>
        <v>Illinois</v>
      </c>
      <c r="Q8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39" s="15"/>
    </row>
    <row r="840" spans="1:18" x14ac:dyDescent="0.2">
      <c r="A840" s="1">
        <v>838</v>
      </c>
      <c r="B840" s="6" t="s">
        <v>1414</v>
      </c>
      <c r="C840" t="s">
        <v>13</v>
      </c>
      <c r="D840" t="s">
        <v>20</v>
      </c>
      <c r="E840">
        <v>32</v>
      </c>
      <c r="F840" t="s">
        <v>90</v>
      </c>
      <c r="G840" t="s">
        <v>28</v>
      </c>
      <c r="H840" s="6" t="s">
        <v>1903</v>
      </c>
      <c r="I840" s="11">
        <v>96140.89</v>
      </c>
      <c r="J840" t="s">
        <v>22</v>
      </c>
      <c r="K840">
        <v>-1137984408</v>
      </c>
      <c r="L840" t="s">
        <v>18</v>
      </c>
      <c r="M840" t="b">
        <v>1</v>
      </c>
      <c r="N840" s="17">
        <f t="shared" si="13"/>
        <v>44140</v>
      </c>
      <c r="O840" t="str">
        <f>LEFT(Table1[[#This Row],[Department_Region]], FIND("-", Table1[[#This Row],[Department_Region]]) - 1)</f>
        <v>Admin</v>
      </c>
      <c r="P840" t="str">
        <f>RIGHT(Table1[[#This Row],[Department_Region]],LEN(Table1[[#This Row],[Department_Region]]) - FIND("-",Table1[[#This Row],[Department_Region]]))</f>
        <v>Illinois</v>
      </c>
      <c r="Q8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40" s="15"/>
    </row>
    <row r="841" spans="1:18" x14ac:dyDescent="0.2">
      <c r="A841" s="1">
        <v>839</v>
      </c>
      <c r="B841" s="6" t="s">
        <v>1415</v>
      </c>
      <c r="C841" t="s">
        <v>54</v>
      </c>
      <c r="D841" t="s">
        <v>26</v>
      </c>
      <c r="E841">
        <v>35</v>
      </c>
      <c r="F841" t="s">
        <v>56</v>
      </c>
      <c r="G841" t="s">
        <v>33</v>
      </c>
      <c r="H841" s="6" t="s">
        <v>1904</v>
      </c>
      <c r="I841" s="11">
        <v>105956.04</v>
      </c>
      <c r="J841" t="s">
        <v>122</v>
      </c>
      <c r="K841">
        <v>-7123166006</v>
      </c>
      <c r="L841" t="s">
        <v>23</v>
      </c>
      <c r="M841" t="b">
        <v>0</v>
      </c>
      <c r="N841" s="17">
        <f t="shared" si="13"/>
        <v>44201</v>
      </c>
      <c r="O841" t="str">
        <f>LEFT(Table1[[#This Row],[Department_Region]], FIND("-", Table1[[#This Row],[Department_Region]]) - 1)</f>
        <v>DevOps</v>
      </c>
      <c r="P841" t="str">
        <f>RIGHT(Table1[[#This Row],[Department_Region]],LEN(Table1[[#This Row],[Department_Region]]) - FIND("-",Table1[[#This Row],[Department_Region]]))</f>
        <v>New York</v>
      </c>
      <c r="Q8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41" s="15"/>
    </row>
    <row r="842" spans="1:18" x14ac:dyDescent="0.2">
      <c r="A842" s="1">
        <v>840</v>
      </c>
      <c r="B842" s="6" t="s">
        <v>1416</v>
      </c>
      <c r="C842" t="s">
        <v>37</v>
      </c>
      <c r="D842" t="s">
        <v>14</v>
      </c>
      <c r="E842">
        <v>25</v>
      </c>
      <c r="F842" t="s">
        <v>90</v>
      </c>
      <c r="G842" t="s">
        <v>16</v>
      </c>
      <c r="H842" s="6" t="s">
        <v>1905</v>
      </c>
      <c r="I842" s="11">
        <v>84716.38</v>
      </c>
      <c r="J842" t="s">
        <v>52</v>
      </c>
      <c r="K842">
        <v>-6762090143</v>
      </c>
      <c r="L842" t="s">
        <v>30</v>
      </c>
      <c r="M842" t="b">
        <v>0</v>
      </c>
      <c r="N842" s="17">
        <f t="shared" si="13"/>
        <v>45546</v>
      </c>
      <c r="O842" t="str">
        <f>LEFT(Table1[[#This Row],[Department_Region]], FIND("-", Table1[[#This Row],[Department_Region]]) - 1)</f>
        <v>Admin</v>
      </c>
      <c r="P842" t="str">
        <f>RIGHT(Table1[[#This Row],[Department_Region]],LEN(Table1[[#This Row],[Department_Region]]) - FIND("-",Table1[[#This Row],[Department_Region]]))</f>
        <v>Illinois</v>
      </c>
      <c r="Q8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42" s="15"/>
    </row>
    <row r="843" spans="1:18" x14ac:dyDescent="0.2">
      <c r="A843" s="1">
        <v>841</v>
      </c>
      <c r="B843" s="6" t="s">
        <v>1417</v>
      </c>
      <c r="C843" t="s">
        <v>69</v>
      </c>
      <c r="D843" t="s">
        <v>43</v>
      </c>
      <c r="E843">
        <v>30</v>
      </c>
      <c r="F843" t="s">
        <v>233</v>
      </c>
      <c r="G843" t="s">
        <v>28</v>
      </c>
      <c r="H843" s="6" t="s">
        <v>805</v>
      </c>
      <c r="I843" s="11">
        <v>61709.83</v>
      </c>
      <c r="J843" t="s">
        <v>84</v>
      </c>
      <c r="K843">
        <v>-7340433699</v>
      </c>
      <c r="L843" t="s">
        <v>30</v>
      </c>
      <c r="M843" t="b">
        <v>1</v>
      </c>
      <c r="N843" s="17">
        <f t="shared" si="13"/>
        <v>45136</v>
      </c>
      <c r="O843" t="str">
        <f>LEFT(Table1[[#This Row],[Department_Region]], FIND("-", Table1[[#This Row],[Department_Region]]) - 1)</f>
        <v>DevOps</v>
      </c>
      <c r="P843" t="str">
        <f>RIGHT(Table1[[#This Row],[Department_Region]],LEN(Table1[[#This Row],[Department_Region]]) - FIND("-",Table1[[#This Row],[Department_Region]]))</f>
        <v>Florida</v>
      </c>
      <c r="Q8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43" s="15"/>
    </row>
    <row r="844" spans="1:18" x14ac:dyDescent="0.2">
      <c r="A844" s="1">
        <v>842</v>
      </c>
      <c r="B844" s="6" t="s">
        <v>1418</v>
      </c>
      <c r="C844" t="s">
        <v>37</v>
      </c>
      <c r="D844" t="s">
        <v>124</v>
      </c>
      <c r="E844">
        <v>25</v>
      </c>
      <c r="F844" t="s">
        <v>15</v>
      </c>
      <c r="G844" t="s">
        <v>16</v>
      </c>
      <c r="H844" s="6" t="s">
        <v>1419</v>
      </c>
      <c r="I844" s="11">
        <v>61732.03</v>
      </c>
      <c r="J844" t="s">
        <v>139</v>
      </c>
      <c r="K844">
        <v>-9687304518</v>
      </c>
      <c r="L844" t="s">
        <v>18</v>
      </c>
      <c r="M844" t="b">
        <v>1</v>
      </c>
      <c r="N844" s="17">
        <f t="shared" si="13"/>
        <v>43938</v>
      </c>
      <c r="O844" t="str">
        <f>LEFT(Table1[[#This Row],[Department_Region]], FIND("-", Table1[[#This Row],[Department_Region]]) - 1)</f>
        <v>DevOps</v>
      </c>
      <c r="P844" t="str">
        <f>RIGHT(Table1[[#This Row],[Department_Region]],LEN(Table1[[#This Row],[Department_Region]]) - FIND("-",Table1[[#This Row],[Department_Region]]))</f>
        <v>California</v>
      </c>
      <c r="Q8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44" s="15"/>
    </row>
    <row r="845" spans="1:18" x14ac:dyDescent="0.2">
      <c r="A845" s="1">
        <v>843</v>
      </c>
      <c r="B845" s="6" t="s">
        <v>1420</v>
      </c>
      <c r="C845" t="s">
        <v>32</v>
      </c>
      <c r="D845" t="s">
        <v>14</v>
      </c>
      <c r="E845">
        <v>40</v>
      </c>
      <c r="F845" t="s">
        <v>79</v>
      </c>
      <c r="G845" t="s">
        <v>16</v>
      </c>
      <c r="H845" s="6" t="s">
        <v>1421</v>
      </c>
      <c r="I845" s="11">
        <v>97845.7</v>
      </c>
      <c r="J845" t="s">
        <v>35</v>
      </c>
      <c r="K845">
        <v>-5778255881</v>
      </c>
      <c r="L845" t="s">
        <v>30</v>
      </c>
      <c r="M845" t="b">
        <v>1</v>
      </c>
      <c r="N845" s="17">
        <f t="shared" si="13"/>
        <v>44608</v>
      </c>
      <c r="O845" t="str">
        <f>LEFT(Table1[[#This Row],[Department_Region]], FIND("-", Table1[[#This Row],[Department_Region]]) - 1)</f>
        <v>DevOps</v>
      </c>
      <c r="P845" t="str">
        <f>RIGHT(Table1[[#This Row],[Department_Region]],LEN(Table1[[#This Row],[Department_Region]]) - FIND("-",Table1[[#This Row],[Department_Region]]))</f>
        <v>Illinois</v>
      </c>
      <c r="Q8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45" s="15"/>
    </row>
    <row r="846" spans="1:18" x14ac:dyDescent="0.2">
      <c r="A846" s="1">
        <v>844</v>
      </c>
      <c r="B846" s="6" t="s">
        <v>1422</v>
      </c>
      <c r="C846" t="s">
        <v>32</v>
      </c>
      <c r="D846" t="s">
        <v>26</v>
      </c>
      <c r="E846">
        <v>30</v>
      </c>
      <c r="F846" t="s">
        <v>75</v>
      </c>
      <c r="G846" t="s">
        <v>16</v>
      </c>
      <c r="H846" s="6" t="s">
        <v>1423</v>
      </c>
      <c r="I846" s="11">
        <v>114905.58</v>
      </c>
      <c r="J846" t="s">
        <v>281</v>
      </c>
      <c r="K846">
        <v>-5562965753</v>
      </c>
      <c r="L846" t="s">
        <v>41</v>
      </c>
      <c r="M846" t="b">
        <v>0</v>
      </c>
      <c r="N846" s="17">
        <f t="shared" si="13"/>
        <v>44422</v>
      </c>
      <c r="O846" t="str">
        <f>LEFT(Table1[[#This Row],[Department_Region]], FIND("-", Table1[[#This Row],[Department_Region]]) - 1)</f>
        <v>Sales</v>
      </c>
      <c r="P846" t="str">
        <f>RIGHT(Table1[[#This Row],[Department_Region]],LEN(Table1[[#This Row],[Department_Region]]) - FIND("-",Table1[[#This Row],[Department_Region]]))</f>
        <v>Florida</v>
      </c>
      <c r="Q8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46" s="15"/>
    </row>
    <row r="847" spans="1:18" x14ac:dyDescent="0.2">
      <c r="A847" s="1">
        <v>845</v>
      </c>
      <c r="B847" s="6" t="s">
        <v>1424</v>
      </c>
      <c r="C847" t="s">
        <v>37</v>
      </c>
      <c r="D847" t="s">
        <v>26</v>
      </c>
      <c r="E847">
        <v>32</v>
      </c>
      <c r="F847" t="s">
        <v>241</v>
      </c>
      <c r="G847" t="s">
        <v>16</v>
      </c>
      <c r="H847" s="6" t="s">
        <v>1385</v>
      </c>
      <c r="I847" s="11">
        <v>94619.69</v>
      </c>
      <c r="J847" t="s">
        <v>47</v>
      </c>
      <c r="K847">
        <v>-2786561941</v>
      </c>
      <c r="L847" t="s">
        <v>30</v>
      </c>
      <c r="M847" t="b">
        <v>1</v>
      </c>
      <c r="N847" s="17">
        <f t="shared" si="13"/>
        <v>44919</v>
      </c>
      <c r="O847" t="str">
        <f>LEFT(Table1[[#This Row],[Department_Region]], FIND("-", Table1[[#This Row],[Department_Region]]) - 1)</f>
        <v>DevOps</v>
      </c>
      <c r="P847" t="str">
        <f>RIGHT(Table1[[#This Row],[Department_Region]],LEN(Table1[[#This Row],[Department_Region]]) - FIND("-",Table1[[#This Row],[Department_Region]]))</f>
        <v>Texas</v>
      </c>
      <c r="Q8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47" s="15"/>
    </row>
    <row r="848" spans="1:18" x14ac:dyDescent="0.2">
      <c r="A848" s="1">
        <v>846</v>
      </c>
      <c r="B848" s="6" t="s">
        <v>1425</v>
      </c>
      <c r="C848" t="s">
        <v>69</v>
      </c>
      <c r="D848" t="s">
        <v>55</v>
      </c>
      <c r="E848">
        <v>32</v>
      </c>
      <c r="F848" t="s">
        <v>15</v>
      </c>
      <c r="G848" t="s">
        <v>33</v>
      </c>
      <c r="H848" s="6" t="s">
        <v>1906</v>
      </c>
      <c r="I848" s="11">
        <v>68696.149999999994</v>
      </c>
      <c r="J848" t="s">
        <v>129</v>
      </c>
      <c r="K848">
        <v>-5577820581</v>
      </c>
      <c r="L848" t="s">
        <v>30</v>
      </c>
      <c r="M848" t="b">
        <v>0</v>
      </c>
      <c r="N848" s="17">
        <f t="shared" si="13"/>
        <v>44384</v>
      </c>
      <c r="O848" t="str">
        <f>LEFT(Table1[[#This Row],[Department_Region]], FIND("-", Table1[[#This Row],[Department_Region]]) - 1)</f>
        <v>DevOps</v>
      </c>
      <c r="P848" t="str">
        <f>RIGHT(Table1[[#This Row],[Department_Region]],LEN(Table1[[#This Row],[Department_Region]]) - FIND("-",Table1[[#This Row],[Department_Region]]))</f>
        <v>California</v>
      </c>
      <c r="Q8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48" s="15"/>
    </row>
    <row r="849" spans="1:18" x14ac:dyDescent="0.2">
      <c r="A849" s="1">
        <v>847</v>
      </c>
      <c r="B849" s="6" t="s">
        <v>1426</v>
      </c>
      <c r="C849" t="s">
        <v>69</v>
      </c>
      <c r="D849" t="s">
        <v>55</v>
      </c>
      <c r="E849">
        <v>40</v>
      </c>
      <c r="F849" t="s">
        <v>333</v>
      </c>
      <c r="G849" t="s">
        <v>16</v>
      </c>
      <c r="H849" s="6" t="s">
        <v>1907</v>
      </c>
      <c r="I849" s="11">
        <v>97032.29</v>
      </c>
      <c r="J849" t="s">
        <v>129</v>
      </c>
      <c r="K849">
        <v>-9582923615</v>
      </c>
      <c r="L849" t="s">
        <v>23</v>
      </c>
      <c r="M849" t="b">
        <v>0</v>
      </c>
      <c r="N849" s="17">
        <f t="shared" si="13"/>
        <v>45334</v>
      </c>
      <c r="O849" t="str">
        <f>LEFT(Table1[[#This Row],[Department_Region]], FIND("-", Table1[[#This Row],[Department_Region]]) - 1)</f>
        <v>DevOps</v>
      </c>
      <c r="P849" t="str">
        <f>RIGHT(Table1[[#This Row],[Department_Region]],LEN(Table1[[#This Row],[Department_Region]]) - FIND("-",Table1[[#This Row],[Department_Region]]))</f>
        <v>Nevada</v>
      </c>
      <c r="Q8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49" s="15"/>
    </row>
    <row r="850" spans="1:18" x14ac:dyDescent="0.2">
      <c r="A850" s="1">
        <v>848</v>
      </c>
      <c r="B850" s="6" t="s">
        <v>1427</v>
      </c>
      <c r="C850" t="s">
        <v>37</v>
      </c>
      <c r="D850" t="s">
        <v>14</v>
      </c>
      <c r="E850">
        <v>30</v>
      </c>
      <c r="F850" t="s">
        <v>195</v>
      </c>
      <c r="G850" t="s">
        <v>16</v>
      </c>
      <c r="H850" s="6" t="s">
        <v>1764</v>
      </c>
      <c r="I850" s="11">
        <v>50593.33</v>
      </c>
      <c r="J850" t="s">
        <v>52</v>
      </c>
      <c r="K850">
        <v>-1880819047</v>
      </c>
      <c r="L850" t="s">
        <v>23</v>
      </c>
      <c r="M850" t="b">
        <v>1</v>
      </c>
      <c r="N850" s="17">
        <f t="shared" si="13"/>
        <v>45208</v>
      </c>
      <c r="O850" t="str">
        <f>LEFT(Table1[[#This Row],[Department_Region]], FIND("-", Table1[[#This Row],[Department_Region]]) - 1)</f>
        <v>HR</v>
      </c>
      <c r="P850" t="str">
        <f>RIGHT(Table1[[#This Row],[Department_Region]],LEN(Table1[[#This Row],[Department_Region]]) - FIND("-",Table1[[#This Row],[Department_Region]]))</f>
        <v>Illinois</v>
      </c>
      <c r="Q8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0" s="15"/>
    </row>
    <row r="851" spans="1:18" x14ac:dyDescent="0.2">
      <c r="A851" s="1">
        <v>849</v>
      </c>
      <c r="B851" s="6" t="s">
        <v>1428</v>
      </c>
      <c r="C851" t="s">
        <v>69</v>
      </c>
      <c r="D851" t="s">
        <v>93</v>
      </c>
      <c r="E851">
        <v>25</v>
      </c>
      <c r="F851" t="s">
        <v>44</v>
      </c>
      <c r="G851" t="s">
        <v>28</v>
      </c>
      <c r="H851" s="6" t="s">
        <v>1835</v>
      </c>
      <c r="I851" s="11">
        <v>74606.149999999994</v>
      </c>
      <c r="J851" t="s">
        <v>170</v>
      </c>
      <c r="K851">
        <v>-2357155867</v>
      </c>
      <c r="L851" t="s">
        <v>30</v>
      </c>
      <c r="M851" t="b">
        <v>1</v>
      </c>
      <c r="N851" s="17">
        <f t="shared" si="13"/>
        <v>44744</v>
      </c>
      <c r="O851" t="str">
        <f>LEFT(Table1[[#This Row],[Department_Region]], FIND("-", Table1[[#This Row],[Department_Region]]) - 1)</f>
        <v>Sales</v>
      </c>
      <c r="P851" t="str">
        <f>RIGHT(Table1[[#This Row],[Department_Region]],LEN(Table1[[#This Row],[Department_Region]]) - FIND("-",Table1[[#This Row],[Department_Region]]))</f>
        <v>Texas</v>
      </c>
      <c r="Q8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1" s="15"/>
    </row>
    <row r="852" spans="1:18" x14ac:dyDescent="0.2">
      <c r="A852" s="1">
        <v>850</v>
      </c>
      <c r="B852" s="6" t="s">
        <v>1429</v>
      </c>
      <c r="C852" t="s">
        <v>32</v>
      </c>
      <c r="D852" t="s">
        <v>14</v>
      </c>
      <c r="E852">
        <v>30</v>
      </c>
      <c r="F852" t="s">
        <v>161</v>
      </c>
      <c r="G852" t="s">
        <v>28</v>
      </c>
      <c r="H852" s="6" t="s">
        <v>1908</v>
      </c>
      <c r="I852" s="11">
        <v>53981.73</v>
      </c>
      <c r="J852" t="s">
        <v>35</v>
      </c>
      <c r="K852">
        <v>-6395613722</v>
      </c>
      <c r="L852" t="s">
        <v>18</v>
      </c>
      <c r="M852" t="b">
        <v>0</v>
      </c>
      <c r="N852" s="17">
        <f t="shared" si="13"/>
        <v>44019</v>
      </c>
      <c r="O852" t="str">
        <f>LEFT(Table1[[#This Row],[Department_Region]], FIND("-", Table1[[#This Row],[Department_Region]]) - 1)</f>
        <v>Cloud Tech</v>
      </c>
      <c r="P852" t="str">
        <f>RIGHT(Table1[[#This Row],[Department_Region]],LEN(Table1[[#This Row],[Department_Region]]) - FIND("-",Table1[[#This Row],[Department_Region]]))</f>
        <v>Texas</v>
      </c>
      <c r="Q8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52" s="15"/>
    </row>
    <row r="853" spans="1:18" x14ac:dyDescent="0.2">
      <c r="A853" s="1">
        <v>851</v>
      </c>
      <c r="B853" s="6" t="s">
        <v>1430</v>
      </c>
      <c r="C853" t="s">
        <v>59</v>
      </c>
      <c r="D853" t="s">
        <v>55</v>
      </c>
      <c r="E853">
        <v>32</v>
      </c>
      <c r="F853" t="s">
        <v>241</v>
      </c>
      <c r="G853" t="s">
        <v>28</v>
      </c>
      <c r="H853" s="6" t="s">
        <v>1909</v>
      </c>
      <c r="I853" s="11">
        <v>56047.05</v>
      </c>
      <c r="J853" t="s">
        <v>220</v>
      </c>
      <c r="K853">
        <v>-817214363</v>
      </c>
      <c r="L853" t="s">
        <v>23</v>
      </c>
      <c r="M853" t="b">
        <v>1</v>
      </c>
      <c r="N853" s="17">
        <f t="shared" si="13"/>
        <v>44076</v>
      </c>
      <c r="O853" t="str">
        <f>LEFT(Table1[[#This Row],[Department_Region]], FIND("-", Table1[[#This Row],[Department_Region]]) - 1)</f>
        <v>DevOps</v>
      </c>
      <c r="P853" t="str">
        <f>RIGHT(Table1[[#This Row],[Department_Region]],LEN(Table1[[#This Row],[Department_Region]]) - FIND("-",Table1[[#This Row],[Department_Region]]))</f>
        <v>Texas</v>
      </c>
      <c r="Q8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53" s="15"/>
    </row>
    <row r="854" spans="1:18" x14ac:dyDescent="0.2">
      <c r="A854" s="1">
        <v>852</v>
      </c>
      <c r="B854" s="6" t="s">
        <v>1431</v>
      </c>
      <c r="C854" t="s">
        <v>69</v>
      </c>
      <c r="D854" t="s">
        <v>26</v>
      </c>
      <c r="E854">
        <v>32</v>
      </c>
      <c r="F854" t="s">
        <v>104</v>
      </c>
      <c r="G854" t="s">
        <v>28</v>
      </c>
      <c r="H854" s="6" t="s">
        <v>1910</v>
      </c>
      <c r="I854" s="11">
        <v>67733.5</v>
      </c>
      <c r="J854" t="s">
        <v>77</v>
      </c>
      <c r="K854">
        <v>-3813000412</v>
      </c>
      <c r="L854" t="s">
        <v>18</v>
      </c>
      <c r="M854" t="b">
        <v>0</v>
      </c>
      <c r="N854" s="17">
        <f t="shared" si="13"/>
        <v>44208</v>
      </c>
      <c r="O854" t="str">
        <f>LEFT(Table1[[#This Row],[Department_Region]], FIND("-", Table1[[#This Row],[Department_Region]]) - 1)</f>
        <v>Admin</v>
      </c>
      <c r="P854" t="str">
        <f>RIGHT(Table1[[#This Row],[Department_Region]],LEN(Table1[[#This Row],[Department_Region]]) - FIND("-",Table1[[#This Row],[Department_Region]]))</f>
        <v>Texas</v>
      </c>
      <c r="Q8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4" s="15"/>
    </row>
    <row r="855" spans="1:18" x14ac:dyDescent="0.2">
      <c r="A855" s="1">
        <v>853</v>
      </c>
      <c r="B855" s="6" t="s">
        <v>1432</v>
      </c>
      <c r="C855" t="s">
        <v>13</v>
      </c>
      <c r="D855" t="s">
        <v>38</v>
      </c>
      <c r="E855">
        <v>40</v>
      </c>
      <c r="F855" t="s">
        <v>215</v>
      </c>
      <c r="G855" t="s">
        <v>28</v>
      </c>
      <c r="H855" s="6" t="s">
        <v>599</v>
      </c>
      <c r="I855" s="11">
        <v>103891.64</v>
      </c>
      <c r="J855" t="s">
        <v>146</v>
      </c>
      <c r="K855">
        <v>-2114716559</v>
      </c>
      <c r="L855" t="s">
        <v>30</v>
      </c>
      <c r="M855" t="b">
        <v>1</v>
      </c>
      <c r="N855" s="17">
        <f t="shared" si="13"/>
        <v>45198</v>
      </c>
      <c r="O855" t="str">
        <f>LEFT(Table1[[#This Row],[Department_Region]], FIND("-", Table1[[#This Row],[Department_Region]]) - 1)</f>
        <v>HR</v>
      </c>
      <c r="P855" t="str">
        <f>RIGHT(Table1[[#This Row],[Department_Region]],LEN(Table1[[#This Row],[Department_Region]]) - FIND("-",Table1[[#This Row],[Department_Region]]))</f>
        <v>Florida</v>
      </c>
      <c r="Q8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55" s="15"/>
    </row>
    <row r="856" spans="1:18" x14ac:dyDescent="0.2">
      <c r="A856" s="1">
        <v>854</v>
      </c>
      <c r="B856" s="6" t="s">
        <v>1433</v>
      </c>
      <c r="C856" t="s">
        <v>54</v>
      </c>
      <c r="D856" t="s">
        <v>14</v>
      </c>
      <c r="E856">
        <v>25</v>
      </c>
      <c r="F856" t="s">
        <v>141</v>
      </c>
      <c r="G856" t="s">
        <v>33</v>
      </c>
      <c r="H856" s="6" t="s">
        <v>1838</v>
      </c>
      <c r="I856" s="11">
        <v>73285.83</v>
      </c>
      <c r="J856" t="s">
        <v>173</v>
      </c>
      <c r="K856">
        <v>-9456534698</v>
      </c>
      <c r="L856" t="s">
        <v>30</v>
      </c>
      <c r="M856" t="b">
        <v>1</v>
      </c>
      <c r="N856" s="17">
        <f t="shared" si="13"/>
        <v>44626</v>
      </c>
      <c r="O856" t="str">
        <f>LEFT(Table1[[#This Row],[Department_Region]], FIND("-", Table1[[#This Row],[Department_Region]]) - 1)</f>
        <v>HR</v>
      </c>
      <c r="P856" t="str">
        <f>RIGHT(Table1[[#This Row],[Department_Region]],LEN(Table1[[#This Row],[Department_Region]]) - FIND("-",Table1[[#This Row],[Department_Region]]))</f>
        <v>Texas</v>
      </c>
      <c r="Q8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6" s="15"/>
    </row>
    <row r="857" spans="1:18" x14ac:dyDescent="0.2">
      <c r="A857" s="1">
        <v>855</v>
      </c>
      <c r="B857" s="6" t="s">
        <v>1434</v>
      </c>
      <c r="C857" t="s">
        <v>32</v>
      </c>
      <c r="D857" t="s">
        <v>26</v>
      </c>
      <c r="E857">
        <v>30</v>
      </c>
      <c r="F857" t="s">
        <v>21</v>
      </c>
      <c r="G857" t="s">
        <v>33</v>
      </c>
      <c r="H857" s="6" t="s">
        <v>1435</v>
      </c>
      <c r="I857" s="11">
        <v>92721.13</v>
      </c>
      <c r="J857" t="s">
        <v>281</v>
      </c>
      <c r="K857">
        <v>-7990707549</v>
      </c>
      <c r="L857" t="s">
        <v>41</v>
      </c>
      <c r="M857" t="b">
        <v>1</v>
      </c>
      <c r="N857" s="17">
        <f t="shared" si="13"/>
        <v>44241</v>
      </c>
      <c r="O857" t="str">
        <f>LEFT(Table1[[#This Row],[Department_Region]], FIND("-", Table1[[#This Row],[Department_Region]]) - 1)</f>
        <v>Finance</v>
      </c>
      <c r="P857" t="str">
        <f>RIGHT(Table1[[#This Row],[Department_Region]],LEN(Table1[[#This Row],[Department_Region]]) - FIND("-",Table1[[#This Row],[Department_Region]]))</f>
        <v>Texas</v>
      </c>
      <c r="Q8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7" s="15"/>
    </row>
    <row r="858" spans="1:18" x14ac:dyDescent="0.2">
      <c r="A858" s="1">
        <v>856</v>
      </c>
      <c r="B858" s="6" t="s">
        <v>1436</v>
      </c>
      <c r="C858" t="s">
        <v>65</v>
      </c>
      <c r="D858" t="s">
        <v>38</v>
      </c>
      <c r="E858">
        <v>25</v>
      </c>
      <c r="F858" t="s">
        <v>90</v>
      </c>
      <c r="G858" t="s">
        <v>33</v>
      </c>
      <c r="H858" s="6" t="s">
        <v>657</v>
      </c>
      <c r="I858" s="11">
        <v>92977.64</v>
      </c>
      <c r="J858" t="s">
        <v>67</v>
      </c>
      <c r="K858">
        <v>-4768169956</v>
      </c>
      <c r="L858" t="s">
        <v>23</v>
      </c>
      <c r="M858" t="b">
        <v>0</v>
      </c>
      <c r="N858" s="17">
        <f t="shared" si="13"/>
        <v>44278</v>
      </c>
      <c r="O858" t="str">
        <f>LEFT(Table1[[#This Row],[Department_Region]], FIND("-", Table1[[#This Row],[Department_Region]]) - 1)</f>
        <v>Admin</v>
      </c>
      <c r="P858" t="str">
        <f>RIGHT(Table1[[#This Row],[Department_Region]],LEN(Table1[[#This Row],[Department_Region]]) - FIND("-",Table1[[#This Row],[Department_Region]]))</f>
        <v>Illinois</v>
      </c>
      <c r="Q8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58" s="15"/>
    </row>
    <row r="859" spans="1:18" x14ac:dyDescent="0.2">
      <c r="A859" s="1">
        <v>857</v>
      </c>
      <c r="B859" s="6" t="s">
        <v>1437</v>
      </c>
      <c r="C859" t="s">
        <v>65</v>
      </c>
      <c r="D859" t="s">
        <v>38</v>
      </c>
      <c r="E859">
        <v>35</v>
      </c>
      <c r="F859" t="s">
        <v>161</v>
      </c>
      <c r="G859" t="s">
        <v>16</v>
      </c>
      <c r="H859" s="6" t="s">
        <v>1438</v>
      </c>
      <c r="I859" s="11">
        <v>89994.12</v>
      </c>
      <c r="J859" t="s">
        <v>67</v>
      </c>
      <c r="K859">
        <v>-607174810</v>
      </c>
      <c r="L859" t="s">
        <v>30</v>
      </c>
      <c r="M859" t="b">
        <v>1</v>
      </c>
      <c r="N859" s="17">
        <f t="shared" si="13"/>
        <v>43975</v>
      </c>
      <c r="O859" t="str">
        <f>LEFT(Table1[[#This Row],[Department_Region]], FIND("-", Table1[[#This Row],[Department_Region]]) - 1)</f>
        <v>Cloud Tech</v>
      </c>
      <c r="P859" t="str">
        <f>RIGHT(Table1[[#This Row],[Department_Region]],LEN(Table1[[#This Row],[Department_Region]]) - FIND("-",Table1[[#This Row],[Department_Region]]))</f>
        <v>Texas</v>
      </c>
      <c r="Q8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59" s="15"/>
    </row>
    <row r="860" spans="1:18" x14ac:dyDescent="0.2">
      <c r="A860" s="1">
        <v>858</v>
      </c>
      <c r="B860" s="6" t="s">
        <v>1439</v>
      </c>
      <c r="C860" t="s">
        <v>65</v>
      </c>
      <c r="D860" t="s">
        <v>55</v>
      </c>
      <c r="E860">
        <v>25</v>
      </c>
      <c r="F860" t="s">
        <v>230</v>
      </c>
      <c r="G860" t="s">
        <v>28</v>
      </c>
      <c r="H860" s="6" t="s">
        <v>1804</v>
      </c>
      <c r="I860" s="11">
        <v>50060.73</v>
      </c>
      <c r="J860" t="s">
        <v>114</v>
      </c>
      <c r="K860">
        <v>-3176539704</v>
      </c>
      <c r="L860" t="s">
        <v>41</v>
      </c>
      <c r="M860" t="b">
        <v>0</v>
      </c>
      <c r="N860" s="17">
        <f t="shared" si="13"/>
        <v>45142</v>
      </c>
      <c r="O860" t="str">
        <f>LEFT(Table1[[#This Row],[Department_Region]], FIND("-", Table1[[#This Row],[Department_Region]]) - 1)</f>
        <v>Finance</v>
      </c>
      <c r="P860" t="str">
        <f>RIGHT(Table1[[#This Row],[Department_Region]],LEN(Table1[[#This Row],[Department_Region]]) - FIND("-",Table1[[#This Row],[Department_Region]]))</f>
        <v>New York</v>
      </c>
      <c r="Q8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60" s="15"/>
    </row>
    <row r="861" spans="1:18" x14ac:dyDescent="0.2">
      <c r="A861" s="1">
        <v>859</v>
      </c>
      <c r="B861" s="6" t="s">
        <v>1440</v>
      </c>
      <c r="C861" t="s">
        <v>69</v>
      </c>
      <c r="D861" t="s">
        <v>14</v>
      </c>
      <c r="E861">
        <v>35</v>
      </c>
      <c r="F861" t="s">
        <v>27</v>
      </c>
      <c r="G861" t="s">
        <v>33</v>
      </c>
      <c r="H861" s="6" t="s">
        <v>1911</v>
      </c>
      <c r="I861" s="11">
        <v>90224.82</v>
      </c>
      <c r="J861" t="s">
        <v>239</v>
      </c>
      <c r="K861">
        <v>-4873961028</v>
      </c>
      <c r="L861" t="s">
        <v>23</v>
      </c>
      <c r="M861" t="b">
        <v>0</v>
      </c>
      <c r="N861" s="17">
        <f t="shared" si="13"/>
        <v>44632</v>
      </c>
      <c r="O861" t="str">
        <f>LEFT(Table1[[#This Row],[Department_Region]], FIND("-", Table1[[#This Row],[Department_Region]]) - 1)</f>
        <v>Admin</v>
      </c>
      <c r="P861" t="str">
        <f>RIGHT(Table1[[#This Row],[Department_Region]],LEN(Table1[[#This Row],[Department_Region]]) - FIND("-",Table1[[#This Row],[Department_Region]]))</f>
        <v>Nevada</v>
      </c>
      <c r="Q8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61" s="15"/>
    </row>
    <row r="862" spans="1:18" x14ac:dyDescent="0.2">
      <c r="A862" s="1">
        <v>860</v>
      </c>
      <c r="B862" s="6" t="s">
        <v>1441</v>
      </c>
      <c r="C862" t="s">
        <v>65</v>
      </c>
      <c r="D862" t="s">
        <v>20</v>
      </c>
      <c r="E862">
        <v>40</v>
      </c>
      <c r="F862" t="s">
        <v>113</v>
      </c>
      <c r="G862" t="s">
        <v>28</v>
      </c>
      <c r="H862" s="6" t="s">
        <v>1442</v>
      </c>
      <c r="I862" s="11">
        <v>106859.3</v>
      </c>
      <c r="J862" t="s">
        <v>410</v>
      </c>
      <c r="K862">
        <v>-871827495</v>
      </c>
      <c r="L862" t="s">
        <v>30</v>
      </c>
      <c r="M862" t="b">
        <v>0</v>
      </c>
      <c r="N862" s="17">
        <f t="shared" si="13"/>
        <v>45430</v>
      </c>
      <c r="O862" t="str">
        <f>LEFT(Table1[[#This Row],[Department_Region]], FIND("-", Table1[[#This Row],[Department_Region]]) - 1)</f>
        <v>Finance</v>
      </c>
      <c r="P862" t="str">
        <f>RIGHT(Table1[[#This Row],[Department_Region]],LEN(Table1[[#This Row],[Department_Region]]) - FIND("-",Table1[[#This Row],[Department_Region]]))</f>
        <v>Florida</v>
      </c>
      <c r="Q8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62" s="15"/>
    </row>
    <row r="863" spans="1:18" x14ac:dyDescent="0.2">
      <c r="A863" s="1">
        <v>861</v>
      </c>
      <c r="B863" s="6" t="s">
        <v>1443</v>
      </c>
      <c r="C863" t="s">
        <v>59</v>
      </c>
      <c r="D863" t="s">
        <v>124</v>
      </c>
      <c r="E863">
        <v>25</v>
      </c>
      <c r="F863" t="s">
        <v>101</v>
      </c>
      <c r="G863" t="s">
        <v>33</v>
      </c>
      <c r="H863" s="6" t="s">
        <v>1760</v>
      </c>
      <c r="I863" s="11">
        <v>89707.07</v>
      </c>
      <c r="J863" t="s">
        <v>346</v>
      </c>
      <c r="K863">
        <v>-8049187273</v>
      </c>
      <c r="L863" t="s">
        <v>30</v>
      </c>
      <c r="M863" t="b">
        <v>0</v>
      </c>
      <c r="N863" s="17">
        <f t="shared" si="13"/>
        <v>44079</v>
      </c>
      <c r="O863" t="str">
        <f>LEFT(Table1[[#This Row],[Department_Region]], FIND("-", Table1[[#This Row],[Department_Region]]) - 1)</f>
        <v>Finance</v>
      </c>
      <c r="P863" t="str">
        <f>RIGHT(Table1[[#This Row],[Department_Region]],LEN(Table1[[#This Row],[Department_Region]]) - FIND("-",Table1[[#This Row],[Department_Region]]))</f>
        <v>Nevada</v>
      </c>
      <c r="Q8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63" s="15"/>
    </row>
    <row r="864" spans="1:18" x14ac:dyDescent="0.2">
      <c r="A864" s="1">
        <v>862</v>
      </c>
      <c r="B864" s="6" t="s">
        <v>1444</v>
      </c>
      <c r="C864" t="s">
        <v>37</v>
      </c>
      <c r="D864" t="s">
        <v>55</v>
      </c>
      <c r="E864">
        <v>35</v>
      </c>
      <c r="F864" t="s">
        <v>15</v>
      </c>
      <c r="G864" t="s">
        <v>33</v>
      </c>
      <c r="H864" s="6" t="s">
        <v>788</v>
      </c>
      <c r="I864" s="11">
        <v>94259.08</v>
      </c>
      <c r="J864" t="s">
        <v>275</v>
      </c>
      <c r="K864">
        <v>-2049561212</v>
      </c>
      <c r="L864" t="s">
        <v>23</v>
      </c>
      <c r="M864" t="b">
        <v>1</v>
      </c>
      <c r="N864" s="17">
        <f t="shared" si="13"/>
        <v>43944</v>
      </c>
      <c r="O864" t="str">
        <f>LEFT(Table1[[#This Row],[Department_Region]], FIND("-", Table1[[#This Row],[Department_Region]]) - 1)</f>
        <v>DevOps</v>
      </c>
      <c r="P864" t="str">
        <f>RIGHT(Table1[[#This Row],[Department_Region]],LEN(Table1[[#This Row],[Department_Region]]) - FIND("-",Table1[[#This Row],[Department_Region]]))</f>
        <v>California</v>
      </c>
      <c r="Q8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64" s="15"/>
    </row>
    <row r="865" spans="1:18" x14ac:dyDescent="0.2">
      <c r="A865" s="1">
        <v>863</v>
      </c>
      <c r="B865" s="6" t="s">
        <v>1445</v>
      </c>
      <c r="C865" t="s">
        <v>13</v>
      </c>
      <c r="D865" t="s">
        <v>55</v>
      </c>
      <c r="E865">
        <v>35</v>
      </c>
      <c r="F865" t="s">
        <v>180</v>
      </c>
      <c r="G865" t="s">
        <v>16</v>
      </c>
      <c r="H865" s="6" t="s">
        <v>1446</v>
      </c>
      <c r="I865" s="11">
        <v>82174.75</v>
      </c>
      <c r="J865" t="s">
        <v>202</v>
      </c>
      <c r="K865">
        <v>-7730626041</v>
      </c>
      <c r="L865" t="s">
        <v>23</v>
      </c>
      <c r="M865" t="b">
        <v>0</v>
      </c>
      <c r="N865" s="17">
        <f t="shared" si="13"/>
        <v>45553</v>
      </c>
      <c r="O865" t="str">
        <f>LEFT(Table1[[#This Row],[Department_Region]], FIND("-", Table1[[#This Row],[Department_Region]]) - 1)</f>
        <v>Sales</v>
      </c>
      <c r="P865" t="str">
        <f>RIGHT(Table1[[#This Row],[Department_Region]],LEN(Table1[[#This Row],[Department_Region]]) - FIND("-",Table1[[#This Row],[Department_Region]]))</f>
        <v>California</v>
      </c>
      <c r="Q8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65" s="15"/>
    </row>
    <row r="866" spans="1:18" x14ac:dyDescent="0.2">
      <c r="A866" s="1">
        <v>864</v>
      </c>
      <c r="B866" s="6" t="s">
        <v>1447</v>
      </c>
      <c r="C866" t="s">
        <v>59</v>
      </c>
      <c r="D866" t="s">
        <v>20</v>
      </c>
      <c r="E866">
        <v>30</v>
      </c>
      <c r="F866" t="s">
        <v>44</v>
      </c>
      <c r="G866" t="s">
        <v>33</v>
      </c>
      <c r="H866" s="6" t="s">
        <v>497</v>
      </c>
      <c r="I866" s="11">
        <v>63370.22</v>
      </c>
      <c r="J866" t="s">
        <v>228</v>
      </c>
      <c r="K866">
        <v>-3597371121</v>
      </c>
      <c r="L866" t="s">
        <v>23</v>
      </c>
      <c r="M866" t="b">
        <v>0</v>
      </c>
      <c r="N866" s="17">
        <f t="shared" si="13"/>
        <v>45184</v>
      </c>
      <c r="O866" t="str">
        <f>LEFT(Table1[[#This Row],[Department_Region]], FIND("-", Table1[[#This Row],[Department_Region]]) - 1)</f>
        <v>Sales</v>
      </c>
      <c r="P866" t="str">
        <f>RIGHT(Table1[[#This Row],[Department_Region]],LEN(Table1[[#This Row],[Department_Region]]) - FIND("-",Table1[[#This Row],[Department_Region]]))</f>
        <v>Texas</v>
      </c>
      <c r="Q8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66" s="15"/>
    </row>
    <row r="867" spans="1:18" x14ac:dyDescent="0.2">
      <c r="A867" s="1">
        <v>865</v>
      </c>
      <c r="B867" s="6" t="s">
        <v>1448</v>
      </c>
      <c r="C867" t="s">
        <v>13</v>
      </c>
      <c r="D867" t="s">
        <v>124</v>
      </c>
      <c r="E867">
        <v>35</v>
      </c>
      <c r="F867" t="s">
        <v>21</v>
      </c>
      <c r="G867" t="s">
        <v>28</v>
      </c>
      <c r="H867" s="6" t="s">
        <v>1449</v>
      </c>
      <c r="I867" s="11">
        <v>101472.69</v>
      </c>
      <c r="J867" t="s">
        <v>125</v>
      </c>
      <c r="K867">
        <v>-2990775607</v>
      </c>
      <c r="L867" t="s">
        <v>30</v>
      </c>
      <c r="M867" t="b">
        <v>1</v>
      </c>
      <c r="N867" s="17">
        <f t="shared" si="13"/>
        <v>44727</v>
      </c>
      <c r="O867" t="str">
        <f>LEFT(Table1[[#This Row],[Department_Region]], FIND("-", Table1[[#This Row],[Department_Region]]) - 1)</f>
        <v>Finance</v>
      </c>
      <c r="P867" t="str">
        <f>RIGHT(Table1[[#This Row],[Department_Region]],LEN(Table1[[#This Row],[Department_Region]]) - FIND("-",Table1[[#This Row],[Department_Region]]))</f>
        <v>Texas</v>
      </c>
      <c r="Q8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67" s="15"/>
    </row>
    <row r="868" spans="1:18" x14ac:dyDescent="0.2">
      <c r="A868" s="1">
        <v>866</v>
      </c>
      <c r="B868" s="6" t="s">
        <v>1450</v>
      </c>
      <c r="C868" t="s">
        <v>59</v>
      </c>
      <c r="D868" t="s">
        <v>26</v>
      </c>
      <c r="E868">
        <v>25</v>
      </c>
      <c r="F868" t="s">
        <v>79</v>
      </c>
      <c r="G868" t="s">
        <v>16</v>
      </c>
      <c r="H868" s="6" t="s">
        <v>1451</v>
      </c>
      <c r="I868" s="11">
        <v>77213.73</v>
      </c>
      <c r="J868" t="s">
        <v>246</v>
      </c>
      <c r="K868">
        <v>-5816704685</v>
      </c>
      <c r="L868" t="s">
        <v>30</v>
      </c>
      <c r="M868" t="b">
        <v>0</v>
      </c>
      <c r="N868" s="17">
        <f t="shared" si="13"/>
        <v>44832</v>
      </c>
      <c r="O868" t="str">
        <f>LEFT(Table1[[#This Row],[Department_Region]], FIND("-", Table1[[#This Row],[Department_Region]]) - 1)</f>
        <v>DevOps</v>
      </c>
      <c r="P868" t="str">
        <f>RIGHT(Table1[[#This Row],[Department_Region]],LEN(Table1[[#This Row],[Department_Region]]) - FIND("-",Table1[[#This Row],[Department_Region]]))</f>
        <v>Illinois</v>
      </c>
      <c r="Q8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68" s="15"/>
    </row>
    <row r="869" spans="1:18" x14ac:dyDescent="0.2">
      <c r="A869" s="1">
        <v>867</v>
      </c>
      <c r="B869" s="6" t="s">
        <v>1452</v>
      </c>
      <c r="C869" t="s">
        <v>32</v>
      </c>
      <c r="D869" t="s">
        <v>93</v>
      </c>
      <c r="E869">
        <v>40</v>
      </c>
      <c r="F869" t="s">
        <v>75</v>
      </c>
      <c r="G869" t="s">
        <v>16</v>
      </c>
      <c r="H869" s="6" t="s">
        <v>313</v>
      </c>
      <c r="I869" s="11">
        <v>73749.960000000006</v>
      </c>
      <c r="J869" t="s">
        <v>267</v>
      </c>
      <c r="K869">
        <v>-1114576831</v>
      </c>
      <c r="L869" t="s">
        <v>41</v>
      </c>
      <c r="M869" t="b">
        <v>1</v>
      </c>
      <c r="N869" s="17">
        <f t="shared" si="13"/>
        <v>43906</v>
      </c>
      <c r="O869" t="str">
        <f>LEFT(Table1[[#This Row],[Department_Region]], FIND("-", Table1[[#This Row],[Department_Region]]) - 1)</f>
        <v>Sales</v>
      </c>
      <c r="P869" t="str">
        <f>RIGHT(Table1[[#This Row],[Department_Region]],LEN(Table1[[#This Row],[Department_Region]]) - FIND("-",Table1[[#This Row],[Department_Region]]))</f>
        <v>Florida</v>
      </c>
      <c r="Q8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69" s="15"/>
    </row>
    <row r="870" spans="1:18" x14ac:dyDescent="0.2">
      <c r="A870" s="1">
        <v>868</v>
      </c>
      <c r="B870" s="6" t="s">
        <v>1453</v>
      </c>
      <c r="C870" t="s">
        <v>25</v>
      </c>
      <c r="D870" t="s">
        <v>14</v>
      </c>
      <c r="E870">
        <v>40</v>
      </c>
      <c r="F870" t="s">
        <v>60</v>
      </c>
      <c r="G870" t="s">
        <v>28</v>
      </c>
      <c r="H870" s="6" t="s">
        <v>1454</v>
      </c>
      <c r="I870" s="11">
        <v>86618.37</v>
      </c>
      <c r="J870" t="s">
        <v>165</v>
      </c>
      <c r="K870">
        <v>-1021923784</v>
      </c>
      <c r="L870" t="s">
        <v>18</v>
      </c>
      <c r="M870" t="b">
        <v>0</v>
      </c>
      <c r="N870" s="17">
        <f t="shared" si="13"/>
        <v>45197</v>
      </c>
      <c r="O870" t="str">
        <f>LEFT(Table1[[#This Row],[Department_Region]], FIND("-", Table1[[#This Row],[Department_Region]]) - 1)</f>
        <v>Cloud Tech</v>
      </c>
      <c r="P870" t="str">
        <f>RIGHT(Table1[[#This Row],[Department_Region]],LEN(Table1[[#This Row],[Department_Region]]) - FIND("-",Table1[[#This Row],[Department_Region]]))</f>
        <v>New York</v>
      </c>
      <c r="Q8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0" s="15"/>
    </row>
    <row r="871" spans="1:18" x14ac:dyDescent="0.2">
      <c r="A871" s="1">
        <v>869</v>
      </c>
      <c r="B871" s="6" t="s">
        <v>1455</v>
      </c>
      <c r="C871" t="s">
        <v>54</v>
      </c>
      <c r="D871" t="s">
        <v>93</v>
      </c>
      <c r="E871">
        <v>32</v>
      </c>
      <c r="F871" t="s">
        <v>104</v>
      </c>
      <c r="G871" t="s">
        <v>16</v>
      </c>
      <c r="H871" s="6" t="s">
        <v>1134</v>
      </c>
      <c r="I871" s="11">
        <v>59911.33</v>
      </c>
      <c r="J871" t="s">
        <v>508</v>
      </c>
      <c r="K871">
        <v>-8471296179</v>
      </c>
      <c r="L871" t="s">
        <v>23</v>
      </c>
      <c r="M871" t="b">
        <v>1</v>
      </c>
      <c r="N871" s="17">
        <f t="shared" si="13"/>
        <v>45337</v>
      </c>
      <c r="O871" t="str">
        <f>LEFT(Table1[[#This Row],[Department_Region]], FIND("-", Table1[[#This Row],[Department_Region]]) - 1)</f>
        <v>Admin</v>
      </c>
      <c r="P871" t="str">
        <f>RIGHT(Table1[[#This Row],[Department_Region]],LEN(Table1[[#This Row],[Department_Region]]) - FIND("-",Table1[[#This Row],[Department_Region]]))</f>
        <v>Texas</v>
      </c>
      <c r="Q8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1" s="15"/>
    </row>
    <row r="872" spans="1:18" x14ac:dyDescent="0.2">
      <c r="A872" s="1">
        <v>870</v>
      </c>
      <c r="B872" s="6" t="s">
        <v>1456</v>
      </c>
      <c r="C872" t="s">
        <v>65</v>
      </c>
      <c r="D872" t="s">
        <v>26</v>
      </c>
      <c r="E872">
        <v>32</v>
      </c>
      <c r="F872" t="s">
        <v>60</v>
      </c>
      <c r="G872" t="s">
        <v>28</v>
      </c>
      <c r="H872" s="6" t="s">
        <v>647</v>
      </c>
      <c r="I872" s="11">
        <v>59137.64</v>
      </c>
      <c r="J872" t="s">
        <v>324</v>
      </c>
      <c r="K872">
        <v>-3324260507</v>
      </c>
      <c r="L872" t="s">
        <v>30</v>
      </c>
      <c r="M872" t="b">
        <v>0</v>
      </c>
      <c r="N872" s="17">
        <f t="shared" si="13"/>
        <v>45159</v>
      </c>
      <c r="O872" t="str">
        <f>LEFT(Table1[[#This Row],[Department_Region]], FIND("-", Table1[[#This Row],[Department_Region]]) - 1)</f>
        <v>Cloud Tech</v>
      </c>
      <c r="P872" t="str">
        <f>RIGHT(Table1[[#This Row],[Department_Region]],LEN(Table1[[#This Row],[Department_Region]]) - FIND("-",Table1[[#This Row],[Department_Region]]))</f>
        <v>New York</v>
      </c>
      <c r="Q8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72" s="15"/>
    </row>
    <row r="873" spans="1:18" x14ac:dyDescent="0.2">
      <c r="A873" s="1">
        <v>871</v>
      </c>
      <c r="B873" s="6" t="s">
        <v>1457</v>
      </c>
      <c r="C873" t="s">
        <v>25</v>
      </c>
      <c r="D873" t="s">
        <v>43</v>
      </c>
      <c r="E873">
        <v>35</v>
      </c>
      <c r="F873" t="s">
        <v>39</v>
      </c>
      <c r="G873" t="s">
        <v>28</v>
      </c>
      <c r="H873" s="6" t="s">
        <v>966</v>
      </c>
      <c r="I873" s="11">
        <v>108474.65</v>
      </c>
      <c r="J873" t="s">
        <v>45</v>
      </c>
      <c r="K873">
        <v>-184980424</v>
      </c>
      <c r="L873" t="s">
        <v>30</v>
      </c>
      <c r="M873" t="b">
        <v>1</v>
      </c>
      <c r="N873" s="17">
        <f t="shared" si="13"/>
        <v>44180</v>
      </c>
      <c r="O873" t="str">
        <f>LEFT(Table1[[#This Row],[Department_Region]], FIND("-", Table1[[#This Row],[Department_Region]]) - 1)</f>
        <v>Cloud Tech</v>
      </c>
      <c r="P873" t="str">
        <f>RIGHT(Table1[[#This Row],[Department_Region]],LEN(Table1[[#This Row],[Department_Region]]) - FIND("-",Table1[[#This Row],[Department_Region]]))</f>
        <v>Florida</v>
      </c>
      <c r="Q8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3" s="15"/>
    </row>
    <row r="874" spans="1:18" x14ac:dyDescent="0.2">
      <c r="A874" s="1">
        <v>872</v>
      </c>
      <c r="B874" s="6" t="s">
        <v>1458</v>
      </c>
      <c r="C874" t="s">
        <v>13</v>
      </c>
      <c r="D874" t="s">
        <v>55</v>
      </c>
      <c r="E874">
        <v>25</v>
      </c>
      <c r="F874" t="s">
        <v>269</v>
      </c>
      <c r="G874" t="s">
        <v>28</v>
      </c>
      <c r="H874" s="6" t="s">
        <v>421</v>
      </c>
      <c r="I874" s="11">
        <v>54417.71</v>
      </c>
      <c r="J874" t="s">
        <v>202</v>
      </c>
      <c r="K874">
        <v>-3733777311</v>
      </c>
      <c r="L874" t="s">
        <v>23</v>
      </c>
      <c r="M874" t="b">
        <v>0</v>
      </c>
      <c r="N874" s="17">
        <f t="shared" si="13"/>
        <v>44282</v>
      </c>
      <c r="O874" t="str">
        <f>LEFT(Table1[[#This Row],[Department_Region]], FIND("-", Table1[[#This Row],[Department_Region]]) - 1)</f>
        <v>Finance</v>
      </c>
      <c r="P874" t="str">
        <f>RIGHT(Table1[[#This Row],[Department_Region]],LEN(Table1[[#This Row],[Department_Region]]) - FIND("-",Table1[[#This Row],[Department_Region]]))</f>
        <v>Illinois</v>
      </c>
      <c r="Q8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74" s="15"/>
    </row>
    <row r="875" spans="1:18" x14ac:dyDescent="0.2">
      <c r="A875" s="1">
        <v>873</v>
      </c>
      <c r="B875" s="6" t="s">
        <v>1459</v>
      </c>
      <c r="C875" t="s">
        <v>37</v>
      </c>
      <c r="D875" t="s">
        <v>124</v>
      </c>
      <c r="E875">
        <v>40</v>
      </c>
      <c r="F875" t="s">
        <v>141</v>
      </c>
      <c r="G875" t="s">
        <v>28</v>
      </c>
      <c r="H875" s="6" t="s">
        <v>1460</v>
      </c>
      <c r="I875" s="11">
        <v>88211.94</v>
      </c>
      <c r="J875" t="s">
        <v>139</v>
      </c>
      <c r="K875">
        <v>-6881228216</v>
      </c>
      <c r="L875" t="s">
        <v>18</v>
      </c>
      <c r="M875" t="b">
        <v>0</v>
      </c>
      <c r="N875" s="17">
        <f t="shared" si="13"/>
        <v>45010</v>
      </c>
      <c r="O875" t="str">
        <f>LEFT(Table1[[#This Row],[Department_Region]], FIND("-", Table1[[#This Row],[Department_Region]]) - 1)</f>
        <v>HR</v>
      </c>
      <c r="P875" t="str">
        <f>RIGHT(Table1[[#This Row],[Department_Region]],LEN(Table1[[#This Row],[Department_Region]]) - FIND("-",Table1[[#This Row],[Department_Region]]))</f>
        <v>Texas</v>
      </c>
      <c r="Q8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75" s="15"/>
    </row>
    <row r="876" spans="1:18" x14ac:dyDescent="0.2">
      <c r="A876" s="1">
        <v>874</v>
      </c>
      <c r="B876" s="6" t="s">
        <v>1461</v>
      </c>
      <c r="C876" t="s">
        <v>59</v>
      </c>
      <c r="D876" t="s">
        <v>55</v>
      </c>
      <c r="E876">
        <v>25</v>
      </c>
      <c r="F876" t="s">
        <v>110</v>
      </c>
      <c r="G876" t="s">
        <v>33</v>
      </c>
      <c r="H876" s="6" t="s">
        <v>1756</v>
      </c>
      <c r="I876" s="11">
        <v>58452.18</v>
      </c>
      <c r="J876" t="s">
        <v>220</v>
      </c>
      <c r="K876">
        <v>-8192365345</v>
      </c>
      <c r="L876" t="s">
        <v>23</v>
      </c>
      <c r="M876" t="b">
        <v>1</v>
      </c>
      <c r="N876" s="17">
        <f t="shared" si="13"/>
        <v>43960</v>
      </c>
      <c r="O876" t="str">
        <f>LEFT(Table1[[#This Row],[Department_Region]], FIND("-", Table1[[#This Row],[Department_Region]]) - 1)</f>
        <v>Sales</v>
      </c>
      <c r="P876" t="str">
        <f>RIGHT(Table1[[#This Row],[Department_Region]],LEN(Table1[[#This Row],[Department_Region]]) - FIND("-",Table1[[#This Row],[Department_Region]]))</f>
        <v>New York</v>
      </c>
      <c r="Q8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6" s="15"/>
    </row>
    <row r="877" spans="1:18" x14ac:dyDescent="0.2">
      <c r="A877" s="1">
        <v>875</v>
      </c>
      <c r="B877" s="6" t="s">
        <v>1462</v>
      </c>
      <c r="C877" t="s">
        <v>69</v>
      </c>
      <c r="D877" t="s">
        <v>38</v>
      </c>
      <c r="E877">
        <v>30</v>
      </c>
      <c r="F877" t="s">
        <v>15</v>
      </c>
      <c r="G877" t="s">
        <v>28</v>
      </c>
      <c r="H877" s="6" t="s">
        <v>1762</v>
      </c>
      <c r="I877" s="11">
        <v>80706.28</v>
      </c>
      <c r="J877" t="s">
        <v>72</v>
      </c>
      <c r="K877">
        <v>-605603566</v>
      </c>
      <c r="L877" t="s">
        <v>18</v>
      </c>
      <c r="M877" t="b">
        <v>1</v>
      </c>
      <c r="N877" s="17">
        <f t="shared" si="13"/>
        <v>44168</v>
      </c>
      <c r="O877" t="str">
        <f>LEFT(Table1[[#This Row],[Department_Region]], FIND("-", Table1[[#This Row],[Department_Region]]) - 1)</f>
        <v>DevOps</v>
      </c>
      <c r="P877" t="str">
        <f>RIGHT(Table1[[#This Row],[Department_Region]],LEN(Table1[[#This Row],[Department_Region]]) - FIND("-",Table1[[#This Row],[Department_Region]]))</f>
        <v>California</v>
      </c>
      <c r="Q8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77" s="15"/>
    </row>
    <row r="878" spans="1:18" x14ac:dyDescent="0.2">
      <c r="A878" s="1">
        <v>876</v>
      </c>
      <c r="B878" s="6" t="s">
        <v>1463</v>
      </c>
      <c r="C878" t="s">
        <v>25</v>
      </c>
      <c r="D878" t="s">
        <v>55</v>
      </c>
      <c r="E878">
        <v>30</v>
      </c>
      <c r="F878" t="s">
        <v>86</v>
      </c>
      <c r="G878" t="s">
        <v>28</v>
      </c>
      <c r="H878" s="6" t="s">
        <v>1736</v>
      </c>
      <c r="I878" s="11">
        <v>85165.05</v>
      </c>
      <c r="J878" t="s">
        <v>152</v>
      </c>
      <c r="K878">
        <v>-9327986238</v>
      </c>
      <c r="L878" t="s">
        <v>30</v>
      </c>
      <c r="M878" t="b">
        <v>1</v>
      </c>
      <c r="N878" s="17">
        <f t="shared" si="13"/>
        <v>44601</v>
      </c>
      <c r="O878" t="str">
        <f>LEFT(Table1[[#This Row],[Department_Region]], FIND("-", Table1[[#This Row],[Department_Region]]) - 1)</f>
        <v>Cloud Tech</v>
      </c>
      <c r="P878" t="str">
        <f>RIGHT(Table1[[#This Row],[Department_Region]],LEN(Table1[[#This Row],[Department_Region]]) - FIND("-",Table1[[#This Row],[Department_Region]]))</f>
        <v>Nevada</v>
      </c>
      <c r="Q8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8" s="15"/>
    </row>
    <row r="879" spans="1:18" x14ac:dyDescent="0.2">
      <c r="A879" s="1">
        <v>877</v>
      </c>
      <c r="B879" s="6" t="s">
        <v>1464</v>
      </c>
      <c r="C879" t="s">
        <v>65</v>
      </c>
      <c r="D879" t="s">
        <v>55</v>
      </c>
      <c r="E879">
        <v>25</v>
      </c>
      <c r="F879" t="s">
        <v>161</v>
      </c>
      <c r="G879" t="s">
        <v>16</v>
      </c>
      <c r="H879" s="6" t="s">
        <v>1912</v>
      </c>
      <c r="I879" s="11">
        <v>99471.89</v>
      </c>
      <c r="J879" t="s">
        <v>114</v>
      </c>
      <c r="K879">
        <v>-8471690617</v>
      </c>
      <c r="L879" t="s">
        <v>18</v>
      </c>
      <c r="M879" t="b">
        <v>1</v>
      </c>
      <c r="N879" s="17">
        <f t="shared" si="13"/>
        <v>44013</v>
      </c>
      <c r="O879" t="str">
        <f>LEFT(Table1[[#This Row],[Department_Region]], FIND("-", Table1[[#This Row],[Department_Region]]) - 1)</f>
        <v>Cloud Tech</v>
      </c>
      <c r="P879" t="str">
        <f>RIGHT(Table1[[#This Row],[Department_Region]],LEN(Table1[[#This Row],[Department_Region]]) - FIND("-",Table1[[#This Row],[Department_Region]]))</f>
        <v>Texas</v>
      </c>
      <c r="Q8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79" s="15"/>
    </row>
    <row r="880" spans="1:18" x14ac:dyDescent="0.2">
      <c r="A880" s="1">
        <v>878</v>
      </c>
      <c r="B880" s="6" t="s">
        <v>1465</v>
      </c>
      <c r="C880" t="s">
        <v>32</v>
      </c>
      <c r="D880" t="s">
        <v>26</v>
      </c>
      <c r="E880">
        <v>40</v>
      </c>
      <c r="F880" t="s">
        <v>233</v>
      </c>
      <c r="G880" t="s">
        <v>28</v>
      </c>
      <c r="H880" s="6" t="s">
        <v>1466</v>
      </c>
      <c r="I880" s="11">
        <v>64431.22</v>
      </c>
      <c r="J880" t="s">
        <v>281</v>
      </c>
      <c r="K880">
        <v>-1205464753</v>
      </c>
      <c r="L880" t="s">
        <v>41</v>
      </c>
      <c r="M880" t="b">
        <v>0</v>
      </c>
      <c r="N880" s="17">
        <f t="shared" si="13"/>
        <v>44090</v>
      </c>
      <c r="O880" t="str">
        <f>LEFT(Table1[[#This Row],[Department_Region]], FIND("-", Table1[[#This Row],[Department_Region]]) - 1)</f>
        <v>DevOps</v>
      </c>
      <c r="P880" t="str">
        <f>RIGHT(Table1[[#This Row],[Department_Region]],LEN(Table1[[#This Row],[Department_Region]]) - FIND("-",Table1[[#This Row],[Department_Region]]))</f>
        <v>Florida</v>
      </c>
      <c r="Q8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80" s="15"/>
    </row>
    <row r="881" spans="1:18" x14ac:dyDescent="0.2">
      <c r="A881" s="1">
        <v>879</v>
      </c>
      <c r="B881" s="6" t="s">
        <v>1467</v>
      </c>
      <c r="C881" t="s">
        <v>65</v>
      </c>
      <c r="D881" t="s">
        <v>26</v>
      </c>
      <c r="E881">
        <v>40</v>
      </c>
      <c r="F881" t="s">
        <v>199</v>
      </c>
      <c r="G881" t="s">
        <v>28</v>
      </c>
      <c r="H881" s="6" t="s">
        <v>1313</v>
      </c>
      <c r="I881" s="11">
        <v>52633.48</v>
      </c>
      <c r="J881" t="s">
        <v>324</v>
      </c>
      <c r="K881">
        <v>-8954787697</v>
      </c>
      <c r="L881" t="s">
        <v>30</v>
      </c>
      <c r="M881" t="b">
        <v>0</v>
      </c>
      <c r="N881" s="17">
        <f t="shared" si="13"/>
        <v>45247</v>
      </c>
      <c r="O881" t="str">
        <f>LEFT(Table1[[#This Row],[Department_Region]], FIND("-", Table1[[#This Row],[Department_Region]]) - 1)</f>
        <v>Admin</v>
      </c>
      <c r="P881" t="str">
        <f>RIGHT(Table1[[#This Row],[Department_Region]],LEN(Table1[[#This Row],[Department_Region]]) - FIND("-",Table1[[#This Row],[Department_Region]]))</f>
        <v>New York</v>
      </c>
      <c r="Q8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81" s="15"/>
    </row>
    <row r="882" spans="1:18" x14ac:dyDescent="0.2">
      <c r="A882" s="1">
        <v>880</v>
      </c>
      <c r="B882" s="6" t="s">
        <v>1468</v>
      </c>
      <c r="C882" t="s">
        <v>65</v>
      </c>
      <c r="D882" t="s">
        <v>26</v>
      </c>
      <c r="E882">
        <v>32</v>
      </c>
      <c r="F882" t="s">
        <v>86</v>
      </c>
      <c r="G882" t="s">
        <v>33</v>
      </c>
      <c r="H882" s="6" t="s">
        <v>1469</v>
      </c>
      <c r="I882" s="11">
        <v>79315.009999999995</v>
      </c>
      <c r="J882" t="s">
        <v>324</v>
      </c>
      <c r="K882">
        <v>-9992751757</v>
      </c>
      <c r="L882" t="s">
        <v>41</v>
      </c>
      <c r="M882" t="b">
        <v>1</v>
      </c>
      <c r="N882" s="17">
        <f t="shared" si="13"/>
        <v>44543</v>
      </c>
      <c r="O882" t="str">
        <f>LEFT(Table1[[#This Row],[Department_Region]], FIND("-", Table1[[#This Row],[Department_Region]]) - 1)</f>
        <v>Cloud Tech</v>
      </c>
      <c r="P882" t="str">
        <f>RIGHT(Table1[[#This Row],[Department_Region]],LEN(Table1[[#This Row],[Department_Region]]) - FIND("-",Table1[[#This Row],[Department_Region]]))</f>
        <v>Nevada</v>
      </c>
      <c r="Q8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82" s="15"/>
    </row>
    <row r="883" spans="1:18" x14ac:dyDescent="0.2">
      <c r="A883" s="1">
        <v>881</v>
      </c>
      <c r="B883" s="6" t="s">
        <v>1470</v>
      </c>
      <c r="C883" t="s">
        <v>59</v>
      </c>
      <c r="D883" t="s">
        <v>93</v>
      </c>
      <c r="E883">
        <v>25</v>
      </c>
      <c r="F883" t="s">
        <v>44</v>
      </c>
      <c r="G883" t="s">
        <v>28</v>
      </c>
      <c r="H883" s="6" t="s">
        <v>1913</v>
      </c>
      <c r="I883" s="11">
        <v>110391.17</v>
      </c>
      <c r="J883" t="s">
        <v>108</v>
      </c>
      <c r="K883">
        <v>-8914444982</v>
      </c>
      <c r="L883" t="s">
        <v>23</v>
      </c>
      <c r="M883" t="b">
        <v>0</v>
      </c>
      <c r="N883" s="17">
        <f t="shared" si="13"/>
        <v>44572</v>
      </c>
      <c r="O883" t="str">
        <f>LEFT(Table1[[#This Row],[Department_Region]], FIND("-", Table1[[#This Row],[Department_Region]]) - 1)</f>
        <v>Sales</v>
      </c>
      <c r="P883" t="str">
        <f>RIGHT(Table1[[#This Row],[Department_Region]],LEN(Table1[[#This Row],[Department_Region]]) - FIND("-",Table1[[#This Row],[Department_Region]]))</f>
        <v>Texas</v>
      </c>
      <c r="Q8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83" s="15"/>
    </row>
    <row r="884" spans="1:18" x14ac:dyDescent="0.2">
      <c r="A884" s="1">
        <v>882</v>
      </c>
      <c r="B884" s="6" t="s">
        <v>1471</v>
      </c>
      <c r="C884" t="s">
        <v>59</v>
      </c>
      <c r="D884" t="s">
        <v>38</v>
      </c>
      <c r="E884">
        <v>40</v>
      </c>
      <c r="F884" t="s">
        <v>333</v>
      </c>
      <c r="G884" t="s">
        <v>16</v>
      </c>
      <c r="H884" s="6" t="s">
        <v>1472</v>
      </c>
      <c r="I884" s="11">
        <v>53714.83</v>
      </c>
      <c r="J884" t="s">
        <v>61</v>
      </c>
      <c r="K884">
        <v>-5539354357</v>
      </c>
      <c r="L884" t="s">
        <v>23</v>
      </c>
      <c r="M884" t="b">
        <v>1</v>
      </c>
      <c r="N884" s="17">
        <f t="shared" si="13"/>
        <v>44397</v>
      </c>
      <c r="O884" t="str">
        <f>LEFT(Table1[[#This Row],[Department_Region]], FIND("-", Table1[[#This Row],[Department_Region]]) - 1)</f>
        <v>DevOps</v>
      </c>
      <c r="P884" t="str">
        <f>RIGHT(Table1[[#This Row],[Department_Region]],LEN(Table1[[#This Row],[Department_Region]]) - FIND("-",Table1[[#This Row],[Department_Region]]))</f>
        <v>Nevada</v>
      </c>
      <c r="Q8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84" s="15"/>
    </row>
    <row r="885" spans="1:18" x14ac:dyDescent="0.2">
      <c r="A885" s="1">
        <v>883</v>
      </c>
      <c r="B885" s="6" t="s">
        <v>1473</v>
      </c>
      <c r="C885" t="s">
        <v>54</v>
      </c>
      <c r="D885" t="s">
        <v>43</v>
      </c>
      <c r="E885">
        <v>40</v>
      </c>
      <c r="F885" t="s">
        <v>230</v>
      </c>
      <c r="G885" t="s">
        <v>16</v>
      </c>
      <c r="H885" s="6" t="s">
        <v>1914</v>
      </c>
      <c r="I885" s="11">
        <v>114587.11</v>
      </c>
      <c r="J885" t="s">
        <v>88</v>
      </c>
      <c r="K885">
        <v>-6449639242</v>
      </c>
      <c r="L885" t="s">
        <v>23</v>
      </c>
      <c r="M885" t="b">
        <v>1</v>
      </c>
      <c r="N885" s="17">
        <f t="shared" si="13"/>
        <v>45203</v>
      </c>
      <c r="O885" t="str">
        <f>LEFT(Table1[[#This Row],[Department_Region]], FIND("-", Table1[[#This Row],[Department_Region]]) - 1)</f>
        <v>Finance</v>
      </c>
      <c r="P885" t="str">
        <f>RIGHT(Table1[[#This Row],[Department_Region]],LEN(Table1[[#This Row],[Department_Region]]) - FIND("-",Table1[[#This Row],[Department_Region]]))</f>
        <v>New York</v>
      </c>
      <c r="Q8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85" s="15"/>
    </row>
    <row r="886" spans="1:18" x14ac:dyDescent="0.2">
      <c r="A886" s="1">
        <v>884</v>
      </c>
      <c r="B886" s="6" t="s">
        <v>1474</v>
      </c>
      <c r="C886" t="s">
        <v>37</v>
      </c>
      <c r="D886" t="s">
        <v>43</v>
      </c>
      <c r="E886">
        <v>35</v>
      </c>
      <c r="F886" t="s">
        <v>208</v>
      </c>
      <c r="G886" t="s">
        <v>33</v>
      </c>
      <c r="H886" s="6" t="s">
        <v>1475</v>
      </c>
      <c r="I886" s="11">
        <v>93177.35</v>
      </c>
      <c r="J886" t="s">
        <v>183</v>
      </c>
      <c r="K886">
        <v>-5885379820</v>
      </c>
      <c r="L886" t="s">
        <v>18</v>
      </c>
      <c r="M886" t="b">
        <v>0</v>
      </c>
      <c r="N886" s="17">
        <f t="shared" si="13"/>
        <v>44515</v>
      </c>
      <c r="O886" t="str">
        <f>LEFT(Table1[[#This Row],[Department_Region]], FIND("-", Table1[[#This Row],[Department_Region]]) - 1)</f>
        <v>Admin</v>
      </c>
      <c r="P886" t="str">
        <f>RIGHT(Table1[[#This Row],[Department_Region]],LEN(Table1[[#This Row],[Department_Region]]) - FIND("-",Table1[[#This Row],[Department_Region]]))</f>
        <v>Florida</v>
      </c>
      <c r="Q8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86" s="15"/>
    </row>
    <row r="887" spans="1:18" x14ac:dyDescent="0.2">
      <c r="A887" s="1">
        <v>885</v>
      </c>
      <c r="B887" s="6" t="s">
        <v>1476</v>
      </c>
      <c r="C887" t="s">
        <v>65</v>
      </c>
      <c r="D887" t="s">
        <v>26</v>
      </c>
      <c r="E887">
        <v>25</v>
      </c>
      <c r="F887" t="s">
        <v>86</v>
      </c>
      <c r="G887" t="s">
        <v>16</v>
      </c>
      <c r="H887" s="6" t="s">
        <v>1808</v>
      </c>
      <c r="I887" s="11">
        <v>62312.13</v>
      </c>
      <c r="J887" t="s">
        <v>324</v>
      </c>
      <c r="K887">
        <v>-4339527535</v>
      </c>
      <c r="L887" t="s">
        <v>30</v>
      </c>
      <c r="M887" t="b">
        <v>0</v>
      </c>
      <c r="N887" s="17">
        <f t="shared" si="13"/>
        <v>44931</v>
      </c>
      <c r="O887" t="str">
        <f>LEFT(Table1[[#This Row],[Department_Region]], FIND("-", Table1[[#This Row],[Department_Region]]) - 1)</f>
        <v>Cloud Tech</v>
      </c>
      <c r="P887" t="str">
        <f>RIGHT(Table1[[#This Row],[Department_Region]],LEN(Table1[[#This Row],[Department_Region]]) - FIND("-",Table1[[#This Row],[Department_Region]]))</f>
        <v>Nevada</v>
      </c>
      <c r="Q8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87" s="15"/>
    </row>
    <row r="888" spans="1:18" x14ac:dyDescent="0.2">
      <c r="A888" s="1">
        <v>886</v>
      </c>
      <c r="B888" s="6" t="s">
        <v>1477</v>
      </c>
      <c r="C888" t="s">
        <v>65</v>
      </c>
      <c r="D888" t="s">
        <v>124</v>
      </c>
      <c r="E888">
        <v>32</v>
      </c>
      <c r="F888" t="s">
        <v>161</v>
      </c>
      <c r="G888" t="s">
        <v>16</v>
      </c>
      <c r="H888" s="6" t="s">
        <v>1478</v>
      </c>
      <c r="I888" s="11">
        <v>81137.460000000006</v>
      </c>
      <c r="J888" t="s">
        <v>372</v>
      </c>
      <c r="K888">
        <v>-7497852490</v>
      </c>
      <c r="L888" t="s">
        <v>23</v>
      </c>
      <c r="M888" t="b">
        <v>0</v>
      </c>
      <c r="N888" s="17">
        <f t="shared" si="13"/>
        <v>45308</v>
      </c>
      <c r="O888" t="str">
        <f>LEFT(Table1[[#This Row],[Department_Region]], FIND("-", Table1[[#This Row],[Department_Region]]) - 1)</f>
        <v>Cloud Tech</v>
      </c>
      <c r="P888" t="str">
        <f>RIGHT(Table1[[#This Row],[Department_Region]],LEN(Table1[[#This Row],[Department_Region]]) - FIND("-",Table1[[#This Row],[Department_Region]]))</f>
        <v>Texas</v>
      </c>
      <c r="Q8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88" s="15"/>
    </row>
    <row r="889" spans="1:18" x14ac:dyDescent="0.2">
      <c r="A889" s="1">
        <v>887</v>
      </c>
      <c r="B889" s="6" t="s">
        <v>1479</v>
      </c>
      <c r="C889" t="s">
        <v>69</v>
      </c>
      <c r="D889" t="s">
        <v>93</v>
      </c>
      <c r="E889">
        <v>30</v>
      </c>
      <c r="F889" t="s">
        <v>333</v>
      </c>
      <c r="G889" t="s">
        <v>33</v>
      </c>
      <c r="H889" s="6" t="s">
        <v>1480</v>
      </c>
      <c r="I889" s="11">
        <v>104528.27</v>
      </c>
      <c r="J889" t="s">
        <v>170</v>
      </c>
      <c r="K889">
        <v>-4168601346</v>
      </c>
      <c r="L889" t="s">
        <v>23</v>
      </c>
      <c r="M889" t="b">
        <v>0</v>
      </c>
      <c r="N889" s="17">
        <f t="shared" si="13"/>
        <v>44302</v>
      </c>
      <c r="O889" t="str">
        <f>LEFT(Table1[[#This Row],[Department_Region]], FIND("-", Table1[[#This Row],[Department_Region]]) - 1)</f>
        <v>DevOps</v>
      </c>
      <c r="P889" t="str">
        <f>RIGHT(Table1[[#This Row],[Department_Region]],LEN(Table1[[#This Row],[Department_Region]]) - FIND("-",Table1[[#This Row],[Department_Region]]))</f>
        <v>Nevada</v>
      </c>
      <c r="Q8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89" s="15"/>
    </row>
    <row r="890" spans="1:18" x14ac:dyDescent="0.2">
      <c r="A890" s="1">
        <v>888</v>
      </c>
      <c r="B890" s="6" t="s">
        <v>1481</v>
      </c>
      <c r="C890" t="s">
        <v>13</v>
      </c>
      <c r="D890" t="s">
        <v>20</v>
      </c>
      <c r="E890">
        <v>30</v>
      </c>
      <c r="F890" t="s">
        <v>233</v>
      </c>
      <c r="G890" t="s">
        <v>16</v>
      </c>
      <c r="H890" s="6" t="s">
        <v>1777</v>
      </c>
      <c r="I890" s="11">
        <v>112395.56</v>
      </c>
      <c r="J890" t="s">
        <v>22</v>
      </c>
      <c r="K890">
        <v>-7894896339</v>
      </c>
      <c r="L890" t="s">
        <v>30</v>
      </c>
      <c r="M890" t="b">
        <v>0</v>
      </c>
      <c r="N890" s="17">
        <f t="shared" si="13"/>
        <v>44600</v>
      </c>
      <c r="O890" t="str">
        <f>LEFT(Table1[[#This Row],[Department_Region]], FIND("-", Table1[[#This Row],[Department_Region]]) - 1)</f>
        <v>DevOps</v>
      </c>
      <c r="P890" t="str">
        <f>RIGHT(Table1[[#This Row],[Department_Region]],LEN(Table1[[#This Row],[Department_Region]]) - FIND("-",Table1[[#This Row],[Department_Region]]))</f>
        <v>Florida</v>
      </c>
      <c r="Q8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0" s="15"/>
    </row>
    <row r="891" spans="1:18" x14ac:dyDescent="0.2">
      <c r="A891" s="1">
        <v>889</v>
      </c>
      <c r="B891" s="6" t="s">
        <v>1482</v>
      </c>
      <c r="C891" t="s">
        <v>65</v>
      </c>
      <c r="D891" t="s">
        <v>124</v>
      </c>
      <c r="E891">
        <v>25</v>
      </c>
      <c r="F891" t="s">
        <v>230</v>
      </c>
      <c r="G891" t="s">
        <v>16</v>
      </c>
      <c r="H891" s="6" t="s">
        <v>1915</v>
      </c>
      <c r="I891" s="11">
        <v>81849.36</v>
      </c>
      <c r="J891" t="s">
        <v>372</v>
      </c>
      <c r="K891">
        <v>-6791766511</v>
      </c>
      <c r="L891" t="s">
        <v>23</v>
      </c>
      <c r="M891" t="b">
        <v>0</v>
      </c>
      <c r="N891" s="17">
        <f t="shared" si="13"/>
        <v>45079</v>
      </c>
      <c r="O891" t="str">
        <f>LEFT(Table1[[#This Row],[Department_Region]], FIND("-", Table1[[#This Row],[Department_Region]]) - 1)</f>
        <v>Finance</v>
      </c>
      <c r="P891" t="str">
        <f>RIGHT(Table1[[#This Row],[Department_Region]],LEN(Table1[[#This Row],[Department_Region]]) - FIND("-",Table1[[#This Row],[Department_Region]]))</f>
        <v>New York</v>
      </c>
      <c r="Q8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1" s="15"/>
    </row>
    <row r="892" spans="1:18" x14ac:dyDescent="0.2">
      <c r="A892" s="1">
        <v>890</v>
      </c>
      <c r="B892" s="6" t="s">
        <v>1483</v>
      </c>
      <c r="C892" t="s">
        <v>54</v>
      </c>
      <c r="D892" t="s">
        <v>14</v>
      </c>
      <c r="E892">
        <v>40</v>
      </c>
      <c r="F892" t="s">
        <v>56</v>
      </c>
      <c r="G892" t="s">
        <v>28</v>
      </c>
      <c r="H892" s="6" t="s">
        <v>1823</v>
      </c>
      <c r="I892" s="11">
        <v>118288.91</v>
      </c>
      <c r="J892" t="s">
        <v>173</v>
      </c>
      <c r="K892">
        <v>-2150014187</v>
      </c>
      <c r="L892" t="s">
        <v>41</v>
      </c>
      <c r="M892" t="b">
        <v>0</v>
      </c>
      <c r="N892" s="17">
        <f t="shared" si="13"/>
        <v>44565</v>
      </c>
      <c r="O892" t="str">
        <f>LEFT(Table1[[#This Row],[Department_Region]], FIND("-", Table1[[#This Row],[Department_Region]]) - 1)</f>
        <v>DevOps</v>
      </c>
      <c r="P892" t="str">
        <f>RIGHT(Table1[[#This Row],[Department_Region]],LEN(Table1[[#This Row],[Department_Region]]) - FIND("-",Table1[[#This Row],[Department_Region]]))</f>
        <v>New York</v>
      </c>
      <c r="Q8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2" s="15"/>
    </row>
    <row r="893" spans="1:18" x14ac:dyDescent="0.2">
      <c r="A893" s="1">
        <v>891</v>
      </c>
      <c r="B893" s="6" t="s">
        <v>1484</v>
      </c>
      <c r="C893" t="s">
        <v>54</v>
      </c>
      <c r="D893" t="s">
        <v>14</v>
      </c>
      <c r="E893">
        <v>25</v>
      </c>
      <c r="F893" t="s">
        <v>79</v>
      </c>
      <c r="G893" t="s">
        <v>16</v>
      </c>
      <c r="H893" s="6" t="s">
        <v>694</v>
      </c>
      <c r="I893" s="11">
        <v>59555.1</v>
      </c>
      <c r="J893" t="s">
        <v>173</v>
      </c>
      <c r="K893">
        <v>-4216309000</v>
      </c>
      <c r="L893" t="s">
        <v>30</v>
      </c>
      <c r="M893" t="b">
        <v>1</v>
      </c>
      <c r="N893" s="17">
        <f t="shared" si="13"/>
        <v>44405</v>
      </c>
      <c r="O893" t="str">
        <f>LEFT(Table1[[#This Row],[Department_Region]], FIND("-", Table1[[#This Row],[Department_Region]]) - 1)</f>
        <v>DevOps</v>
      </c>
      <c r="P893" t="str">
        <f>RIGHT(Table1[[#This Row],[Department_Region]],LEN(Table1[[#This Row],[Department_Region]]) - FIND("-",Table1[[#This Row],[Department_Region]]))</f>
        <v>Illinois</v>
      </c>
      <c r="Q8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893" s="15"/>
    </row>
    <row r="894" spans="1:18" x14ac:dyDescent="0.2">
      <c r="A894" s="1">
        <v>892</v>
      </c>
      <c r="B894" s="6" t="s">
        <v>1485</v>
      </c>
      <c r="C894" t="s">
        <v>65</v>
      </c>
      <c r="D894" t="s">
        <v>124</v>
      </c>
      <c r="E894">
        <v>40</v>
      </c>
      <c r="F894" t="s">
        <v>120</v>
      </c>
      <c r="G894" t="s">
        <v>16</v>
      </c>
      <c r="H894" s="6" t="s">
        <v>1060</v>
      </c>
      <c r="I894" s="11">
        <v>70661.31</v>
      </c>
      <c r="J894" t="s">
        <v>372</v>
      </c>
      <c r="K894">
        <v>-5944633398</v>
      </c>
      <c r="L894" t="s">
        <v>30</v>
      </c>
      <c r="M894" t="b">
        <v>1</v>
      </c>
      <c r="N894" s="17">
        <f t="shared" si="13"/>
        <v>45646</v>
      </c>
      <c r="O894" t="str">
        <f>LEFT(Table1[[#This Row],[Department_Region]], FIND("-", Table1[[#This Row],[Department_Region]]) - 1)</f>
        <v>Admin</v>
      </c>
      <c r="P894" t="str">
        <f>RIGHT(Table1[[#This Row],[Department_Region]],LEN(Table1[[#This Row],[Department_Region]]) - FIND("-",Table1[[#This Row],[Department_Region]]))</f>
        <v>California</v>
      </c>
      <c r="Q8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4" s="15"/>
    </row>
    <row r="895" spans="1:18" x14ac:dyDescent="0.2">
      <c r="A895" s="1">
        <v>893</v>
      </c>
      <c r="B895" s="6" t="s">
        <v>1486</v>
      </c>
      <c r="C895" t="s">
        <v>54</v>
      </c>
      <c r="D895" t="s">
        <v>26</v>
      </c>
      <c r="E895">
        <v>32</v>
      </c>
      <c r="F895" t="s">
        <v>110</v>
      </c>
      <c r="G895" t="s">
        <v>16</v>
      </c>
      <c r="H895" s="6" t="s">
        <v>764</v>
      </c>
      <c r="I895" s="11">
        <v>109988.16</v>
      </c>
      <c r="J895" t="s">
        <v>122</v>
      </c>
      <c r="K895">
        <v>-9485320894</v>
      </c>
      <c r="L895" t="s">
        <v>30</v>
      </c>
      <c r="M895" t="b">
        <v>1</v>
      </c>
      <c r="N895" s="17">
        <f t="shared" si="13"/>
        <v>44674</v>
      </c>
      <c r="O895" t="str">
        <f>LEFT(Table1[[#This Row],[Department_Region]], FIND("-", Table1[[#This Row],[Department_Region]]) - 1)</f>
        <v>Sales</v>
      </c>
      <c r="P895" t="str">
        <f>RIGHT(Table1[[#This Row],[Department_Region]],LEN(Table1[[#This Row],[Department_Region]]) - FIND("-",Table1[[#This Row],[Department_Region]]))</f>
        <v>New York</v>
      </c>
      <c r="Q8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95" s="15"/>
    </row>
    <row r="896" spans="1:18" x14ac:dyDescent="0.2">
      <c r="A896" s="1">
        <v>894</v>
      </c>
      <c r="B896" s="6" t="s">
        <v>1487</v>
      </c>
      <c r="C896" t="s">
        <v>59</v>
      </c>
      <c r="D896" t="s">
        <v>20</v>
      </c>
      <c r="E896">
        <v>32</v>
      </c>
      <c r="F896" t="s">
        <v>113</v>
      </c>
      <c r="G896" t="s">
        <v>33</v>
      </c>
      <c r="H896" s="6" t="s">
        <v>1488</v>
      </c>
      <c r="I896" s="11">
        <v>101101.24</v>
      </c>
      <c r="J896" t="s">
        <v>228</v>
      </c>
      <c r="K896">
        <v>-3263890218</v>
      </c>
      <c r="L896" t="s">
        <v>41</v>
      </c>
      <c r="M896" t="b">
        <v>1</v>
      </c>
      <c r="N896" s="17">
        <f t="shared" si="13"/>
        <v>43860</v>
      </c>
      <c r="O896" t="str">
        <f>LEFT(Table1[[#This Row],[Department_Region]], FIND("-", Table1[[#This Row],[Department_Region]]) - 1)</f>
        <v>Finance</v>
      </c>
      <c r="P896" t="str">
        <f>RIGHT(Table1[[#This Row],[Department_Region]],LEN(Table1[[#This Row],[Department_Region]]) - FIND("-",Table1[[#This Row],[Department_Region]]))</f>
        <v>Florida</v>
      </c>
      <c r="Q8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6" s="15"/>
    </row>
    <row r="897" spans="1:18" x14ac:dyDescent="0.2">
      <c r="A897" s="1">
        <v>895</v>
      </c>
      <c r="B897" s="6" t="s">
        <v>1489</v>
      </c>
      <c r="C897" t="s">
        <v>59</v>
      </c>
      <c r="D897" t="s">
        <v>20</v>
      </c>
      <c r="E897">
        <v>30</v>
      </c>
      <c r="F897" t="s">
        <v>215</v>
      </c>
      <c r="G897" t="s">
        <v>28</v>
      </c>
      <c r="H897" s="6" t="s">
        <v>1490</v>
      </c>
      <c r="I897" s="11">
        <v>112427.58</v>
      </c>
      <c r="J897" t="s">
        <v>228</v>
      </c>
      <c r="K897">
        <v>-9471136336</v>
      </c>
      <c r="L897" t="s">
        <v>30</v>
      </c>
      <c r="M897" t="b">
        <v>1</v>
      </c>
      <c r="N897" s="17">
        <f t="shared" si="13"/>
        <v>44286</v>
      </c>
      <c r="O897" t="str">
        <f>LEFT(Table1[[#This Row],[Department_Region]], FIND("-", Table1[[#This Row],[Department_Region]]) - 1)</f>
        <v>HR</v>
      </c>
      <c r="P897" t="str">
        <f>RIGHT(Table1[[#This Row],[Department_Region]],LEN(Table1[[#This Row],[Department_Region]]) - FIND("-",Table1[[#This Row],[Department_Region]]))</f>
        <v>Florida</v>
      </c>
      <c r="Q8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97" s="15"/>
    </row>
    <row r="898" spans="1:18" x14ac:dyDescent="0.2">
      <c r="A898" s="1">
        <v>896</v>
      </c>
      <c r="B898" s="6" t="s">
        <v>1491</v>
      </c>
      <c r="C898" t="s">
        <v>54</v>
      </c>
      <c r="D898" t="s">
        <v>93</v>
      </c>
      <c r="E898">
        <v>32</v>
      </c>
      <c r="F898" t="s">
        <v>39</v>
      </c>
      <c r="G898" t="s">
        <v>16</v>
      </c>
      <c r="H898" s="6" t="s">
        <v>242</v>
      </c>
      <c r="I898" s="11">
        <v>119389.15</v>
      </c>
      <c r="J898" t="s">
        <v>508</v>
      </c>
      <c r="K898">
        <v>-9223410345</v>
      </c>
      <c r="L898" t="s">
        <v>41</v>
      </c>
      <c r="M898" t="b">
        <v>0</v>
      </c>
      <c r="N898" s="17">
        <f t="shared" ref="N898:N961" si="14">IF(ISNUMBER(H898), H898, DATE(RIGHT(H898, 4), LEFT(H898, FIND("/", H898) - 1), MID(H898, FIND("/", H898) + 1, FIND("/", H898, FIND("/", H898) + 1) - FIND("/", H898) - 1)))</f>
        <v>43913</v>
      </c>
      <c r="O898" t="str">
        <f>LEFT(Table1[[#This Row],[Department_Region]], FIND("-", Table1[[#This Row],[Department_Region]]) - 1)</f>
        <v>Cloud Tech</v>
      </c>
      <c r="P898" t="str">
        <f>RIGHT(Table1[[#This Row],[Department_Region]],LEN(Table1[[#This Row],[Department_Region]]) - FIND("-",Table1[[#This Row],[Department_Region]]))</f>
        <v>Florida</v>
      </c>
      <c r="Q8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898" s="15"/>
    </row>
    <row r="899" spans="1:18" x14ac:dyDescent="0.2">
      <c r="A899" s="1">
        <v>897</v>
      </c>
      <c r="B899" s="6" t="s">
        <v>1492</v>
      </c>
      <c r="C899" t="s">
        <v>25</v>
      </c>
      <c r="D899" t="s">
        <v>20</v>
      </c>
      <c r="E899">
        <v>40</v>
      </c>
      <c r="F899" t="s">
        <v>75</v>
      </c>
      <c r="G899" t="s">
        <v>33</v>
      </c>
      <c r="H899" s="6" t="s">
        <v>1493</v>
      </c>
      <c r="I899" s="11">
        <v>105861.23</v>
      </c>
      <c r="J899" t="s">
        <v>81</v>
      </c>
      <c r="K899">
        <v>-9967331166</v>
      </c>
      <c r="L899" t="s">
        <v>30</v>
      </c>
      <c r="M899" t="b">
        <v>1</v>
      </c>
      <c r="N899" s="17">
        <f t="shared" si="14"/>
        <v>45489</v>
      </c>
      <c r="O899" t="str">
        <f>LEFT(Table1[[#This Row],[Department_Region]], FIND("-", Table1[[#This Row],[Department_Region]]) - 1)</f>
        <v>Sales</v>
      </c>
      <c r="P899" t="str">
        <f>RIGHT(Table1[[#This Row],[Department_Region]],LEN(Table1[[#This Row],[Department_Region]]) - FIND("-",Table1[[#This Row],[Department_Region]]))</f>
        <v>Florida</v>
      </c>
      <c r="Q8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899" s="15"/>
    </row>
    <row r="900" spans="1:18" x14ac:dyDescent="0.2">
      <c r="A900" s="1">
        <v>898</v>
      </c>
      <c r="B900" s="6" t="s">
        <v>1494</v>
      </c>
      <c r="C900" t="s">
        <v>65</v>
      </c>
      <c r="D900" t="s">
        <v>14</v>
      </c>
      <c r="E900">
        <v>40</v>
      </c>
      <c r="F900" t="s">
        <v>104</v>
      </c>
      <c r="G900" t="s">
        <v>28</v>
      </c>
      <c r="H900" s="6" t="s">
        <v>489</v>
      </c>
      <c r="I900" s="11">
        <v>50869.61</v>
      </c>
      <c r="J900" t="s">
        <v>400</v>
      </c>
      <c r="K900">
        <v>-7269608436</v>
      </c>
      <c r="L900" t="s">
        <v>18</v>
      </c>
      <c r="M900" t="b">
        <v>1</v>
      </c>
      <c r="N900" s="17">
        <f t="shared" si="14"/>
        <v>45373</v>
      </c>
      <c r="O900" t="str">
        <f>LEFT(Table1[[#This Row],[Department_Region]], FIND("-", Table1[[#This Row],[Department_Region]]) - 1)</f>
        <v>Admin</v>
      </c>
      <c r="P900" t="str">
        <f>RIGHT(Table1[[#This Row],[Department_Region]],LEN(Table1[[#This Row],[Department_Region]]) - FIND("-",Table1[[#This Row],[Department_Region]]))</f>
        <v>Texas</v>
      </c>
      <c r="Q9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00" s="15"/>
    </row>
    <row r="901" spans="1:18" x14ac:dyDescent="0.2">
      <c r="A901" s="1">
        <v>899</v>
      </c>
      <c r="B901" s="6" t="s">
        <v>1495</v>
      </c>
      <c r="C901" t="s">
        <v>59</v>
      </c>
      <c r="D901" t="s">
        <v>38</v>
      </c>
      <c r="E901">
        <v>30</v>
      </c>
      <c r="F901" t="s">
        <v>148</v>
      </c>
      <c r="G901" t="s">
        <v>16</v>
      </c>
      <c r="H901" s="6" t="s">
        <v>1044</v>
      </c>
      <c r="I901" s="11">
        <v>85165.05</v>
      </c>
      <c r="J901" t="s">
        <v>61</v>
      </c>
      <c r="K901">
        <v>-6855078966</v>
      </c>
      <c r="L901" t="s">
        <v>23</v>
      </c>
      <c r="M901" t="b">
        <v>1</v>
      </c>
      <c r="N901" s="17">
        <f t="shared" si="14"/>
        <v>45157</v>
      </c>
      <c r="O901" t="str">
        <f>LEFT(Table1[[#This Row],[Department_Region]], FIND("-", Table1[[#This Row],[Department_Region]]) - 1)</f>
        <v>HR</v>
      </c>
      <c r="P901" t="str">
        <f>RIGHT(Table1[[#This Row],[Department_Region]],LEN(Table1[[#This Row],[Department_Region]]) - FIND("-",Table1[[#This Row],[Department_Region]]))</f>
        <v>California</v>
      </c>
      <c r="Q9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01" s="15"/>
    </row>
    <row r="902" spans="1:18" x14ac:dyDescent="0.2">
      <c r="A902" s="1">
        <v>900</v>
      </c>
      <c r="B902" s="6" t="s">
        <v>1496</v>
      </c>
      <c r="C902" t="s">
        <v>32</v>
      </c>
      <c r="D902" t="s">
        <v>26</v>
      </c>
      <c r="E902">
        <v>30</v>
      </c>
      <c r="F902" t="s">
        <v>233</v>
      </c>
      <c r="G902" t="s">
        <v>28</v>
      </c>
      <c r="H902" s="6" t="s">
        <v>1727</v>
      </c>
      <c r="I902" s="11">
        <v>90856.21</v>
      </c>
      <c r="J902" t="s">
        <v>281</v>
      </c>
      <c r="K902">
        <v>-9352196262</v>
      </c>
      <c r="L902" t="s">
        <v>18</v>
      </c>
      <c r="M902" t="b">
        <v>1</v>
      </c>
      <c r="N902" s="17">
        <f t="shared" si="14"/>
        <v>45361</v>
      </c>
      <c r="O902" t="str">
        <f>LEFT(Table1[[#This Row],[Department_Region]], FIND("-", Table1[[#This Row],[Department_Region]]) - 1)</f>
        <v>DevOps</v>
      </c>
      <c r="P902" t="str">
        <f>RIGHT(Table1[[#This Row],[Department_Region]],LEN(Table1[[#This Row],[Department_Region]]) - FIND("-",Table1[[#This Row],[Department_Region]]))</f>
        <v>Florida</v>
      </c>
      <c r="Q9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02" s="15"/>
    </row>
    <row r="903" spans="1:18" x14ac:dyDescent="0.2">
      <c r="A903" s="1">
        <v>901</v>
      </c>
      <c r="B903" s="6" t="s">
        <v>1497</v>
      </c>
      <c r="C903" t="s">
        <v>65</v>
      </c>
      <c r="D903" t="s">
        <v>20</v>
      </c>
      <c r="E903">
        <v>30</v>
      </c>
      <c r="F903" t="s">
        <v>233</v>
      </c>
      <c r="G903" t="s">
        <v>16</v>
      </c>
      <c r="H903" s="6" t="s">
        <v>1731</v>
      </c>
      <c r="I903" s="11">
        <v>111008.63</v>
      </c>
      <c r="J903" t="s">
        <v>410</v>
      </c>
      <c r="K903">
        <v>-3556434368</v>
      </c>
      <c r="L903" t="s">
        <v>23</v>
      </c>
      <c r="M903" t="b">
        <v>1</v>
      </c>
      <c r="N903" s="17">
        <f t="shared" si="14"/>
        <v>45448</v>
      </c>
      <c r="O903" t="str">
        <f>LEFT(Table1[[#This Row],[Department_Region]], FIND("-", Table1[[#This Row],[Department_Region]]) - 1)</f>
        <v>DevOps</v>
      </c>
      <c r="P903" t="str">
        <f>RIGHT(Table1[[#This Row],[Department_Region]],LEN(Table1[[#This Row],[Department_Region]]) - FIND("-",Table1[[#This Row],[Department_Region]]))</f>
        <v>Florida</v>
      </c>
      <c r="Q9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03" s="15"/>
    </row>
    <row r="904" spans="1:18" x14ac:dyDescent="0.2">
      <c r="A904" s="1">
        <v>902</v>
      </c>
      <c r="B904" s="6" t="s">
        <v>1498</v>
      </c>
      <c r="C904" t="s">
        <v>25</v>
      </c>
      <c r="D904" t="s">
        <v>93</v>
      </c>
      <c r="E904">
        <v>25</v>
      </c>
      <c r="F904" t="s">
        <v>101</v>
      </c>
      <c r="G904" t="s">
        <v>33</v>
      </c>
      <c r="H904" s="6" t="s">
        <v>209</v>
      </c>
      <c r="I904" s="11">
        <v>52289.99</v>
      </c>
      <c r="J904" t="s">
        <v>168</v>
      </c>
      <c r="K904">
        <v>-7093170694</v>
      </c>
      <c r="L904" t="s">
        <v>41</v>
      </c>
      <c r="M904" t="b">
        <v>1</v>
      </c>
      <c r="N904" s="17">
        <f t="shared" si="14"/>
        <v>44918</v>
      </c>
      <c r="O904" t="str">
        <f>LEFT(Table1[[#This Row],[Department_Region]], FIND("-", Table1[[#This Row],[Department_Region]]) - 1)</f>
        <v>Finance</v>
      </c>
      <c r="P904" t="str">
        <f>RIGHT(Table1[[#This Row],[Department_Region]],LEN(Table1[[#This Row],[Department_Region]]) - FIND("-",Table1[[#This Row],[Department_Region]]))</f>
        <v>Nevada</v>
      </c>
      <c r="Q9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04" s="15"/>
    </row>
    <row r="905" spans="1:18" x14ac:dyDescent="0.2">
      <c r="A905" s="1">
        <v>903</v>
      </c>
      <c r="B905" s="6" t="s">
        <v>1499</v>
      </c>
      <c r="C905" t="s">
        <v>32</v>
      </c>
      <c r="D905" t="s">
        <v>14</v>
      </c>
      <c r="E905">
        <v>32</v>
      </c>
      <c r="F905" t="s">
        <v>99</v>
      </c>
      <c r="G905" t="s">
        <v>16</v>
      </c>
      <c r="H905" s="6" t="s">
        <v>1916</v>
      </c>
      <c r="I905" s="11">
        <v>97926.56</v>
      </c>
      <c r="J905" t="s">
        <v>35</v>
      </c>
      <c r="K905">
        <v>-5607676163</v>
      </c>
      <c r="L905" t="s">
        <v>18</v>
      </c>
      <c r="M905" t="b">
        <v>1</v>
      </c>
      <c r="N905" s="17">
        <f t="shared" si="14"/>
        <v>45444</v>
      </c>
      <c r="O905" t="str">
        <f>LEFT(Table1[[#This Row],[Department_Region]], FIND("-", Table1[[#This Row],[Department_Region]]) - 1)</f>
        <v>Sales</v>
      </c>
      <c r="P905" t="str">
        <f>RIGHT(Table1[[#This Row],[Department_Region]],LEN(Table1[[#This Row],[Department_Region]]) - FIND("-",Table1[[#This Row],[Department_Region]]))</f>
        <v>Illinois</v>
      </c>
      <c r="Q9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05" s="15"/>
    </row>
    <row r="906" spans="1:18" x14ac:dyDescent="0.2">
      <c r="A906" s="1">
        <v>904</v>
      </c>
      <c r="B906" s="6" t="s">
        <v>1500</v>
      </c>
      <c r="C906" t="s">
        <v>37</v>
      </c>
      <c r="D906" t="s">
        <v>38</v>
      </c>
      <c r="E906">
        <v>25</v>
      </c>
      <c r="F906" t="s">
        <v>222</v>
      </c>
      <c r="G906" t="s">
        <v>33</v>
      </c>
      <c r="H906" s="6" t="s">
        <v>1501</v>
      </c>
      <c r="I906" s="11">
        <v>53609.38</v>
      </c>
      <c r="J906" t="s">
        <v>40</v>
      </c>
      <c r="K906">
        <v>-5345472238</v>
      </c>
      <c r="L906" t="s">
        <v>30</v>
      </c>
      <c r="M906" t="b">
        <v>0</v>
      </c>
      <c r="N906" s="17">
        <f t="shared" si="14"/>
        <v>45649</v>
      </c>
      <c r="O906" t="str">
        <f>LEFT(Table1[[#This Row],[Department_Region]], FIND("-", Table1[[#This Row],[Department_Region]]) - 1)</f>
        <v>Sales</v>
      </c>
      <c r="P906" t="str">
        <f>RIGHT(Table1[[#This Row],[Department_Region]],LEN(Table1[[#This Row],[Department_Region]]) - FIND("-",Table1[[#This Row],[Department_Region]]))</f>
        <v>Nevada</v>
      </c>
      <c r="Q9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06" s="15"/>
    </row>
    <row r="907" spans="1:18" x14ac:dyDescent="0.2">
      <c r="A907" s="1">
        <v>905</v>
      </c>
      <c r="B907" s="6" t="s">
        <v>1502</v>
      </c>
      <c r="C907" t="s">
        <v>65</v>
      </c>
      <c r="D907" t="s">
        <v>55</v>
      </c>
      <c r="E907">
        <v>32</v>
      </c>
      <c r="F907" t="s">
        <v>272</v>
      </c>
      <c r="G907" t="s">
        <v>33</v>
      </c>
      <c r="H907" s="6" t="s">
        <v>584</v>
      </c>
      <c r="I907" s="11">
        <v>95372.09</v>
      </c>
      <c r="J907" t="s">
        <v>114</v>
      </c>
      <c r="K907">
        <v>-8983065030</v>
      </c>
      <c r="L907" t="s">
        <v>23</v>
      </c>
      <c r="M907" t="b">
        <v>0</v>
      </c>
      <c r="N907" s="17">
        <f t="shared" si="14"/>
        <v>44189</v>
      </c>
      <c r="O907" t="str">
        <f>LEFT(Table1[[#This Row],[Department_Region]], FIND("-", Table1[[#This Row],[Department_Region]]) - 1)</f>
        <v>Cloud Tech</v>
      </c>
      <c r="P907" t="str">
        <f>RIGHT(Table1[[#This Row],[Department_Region]],LEN(Table1[[#This Row],[Department_Region]]) - FIND("-",Table1[[#This Row],[Department_Region]]))</f>
        <v>California</v>
      </c>
      <c r="Q9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07" s="15"/>
    </row>
    <row r="908" spans="1:18" x14ac:dyDescent="0.2">
      <c r="A908" s="1">
        <v>906</v>
      </c>
      <c r="B908" s="6" t="s">
        <v>1503</v>
      </c>
      <c r="C908" t="s">
        <v>59</v>
      </c>
      <c r="D908" t="s">
        <v>55</v>
      </c>
      <c r="E908">
        <v>30</v>
      </c>
      <c r="F908" t="s">
        <v>66</v>
      </c>
      <c r="G908" t="s">
        <v>28</v>
      </c>
      <c r="H908" s="6" t="s">
        <v>1079</v>
      </c>
      <c r="I908" s="11">
        <v>95432.69</v>
      </c>
      <c r="J908" t="s">
        <v>220</v>
      </c>
      <c r="K908">
        <v>-2198041846</v>
      </c>
      <c r="L908" t="s">
        <v>23</v>
      </c>
      <c r="M908" t="b">
        <v>1</v>
      </c>
      <c r="N908" s="17">
        <f t="shared" si="14"/>
        <v>44063</v>
      </c>
      <c r="O908" t="str">
        <f>LEFT(Table1[[#This Row],[Department_Region]], FIND("-", Table1[[#This Row],[Department_Region]]) - 1)</f>
        <v>HR</v>
      </c>
      <c r="P908" t="str">
        <f>RIGHT(Table1[[#This Row],[Department_Region]],LEN(Table1[[#This Row],[Department_Region]]) - FIND("-",Table1[[#This Row],[Department_Region]]))</f>
        <v>New York</v>
      </c>
      <c r="Q9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08" s="15"/>
    </row>
    <row r="909" spans="1:18" x14ac:dyDescent="0.2">
      <c r="A909" s="1">
        <v>907</v>
      </c>
      <c r="B909" s="6" t="s">
        <v>1504</v>
      </c>
      <c r="C909" t="s">
        <v>59</v>
      </c>
      <c r="D909" t="s">
        <v>38</v>
      </c>
      <c r="E909">
        <v>30</v>
      </c>
      <c r="F909" t="s">
        <v>148</v>
      </c>
      <c r="G909" t="s">
        <v>33</v>
      </c>
      <c r="H909" s="6" t="s">
        <v>1505</v>
      </c>
      <c r="I909" s="11">
        <v>97615.87</v>
      </c>
      <c r="J909" t="s">
        <v>61</v>
      </c>
      <c r="K909">
        <v>-2426423641</v>
      </c>
      <c r="L909" t="s">
        <v>18</v>
      </c>
      <c r="M909" t="b">
        <v>0</v>
      </c>
      <c r="N909" s="17">
        <f t="shared" si="14"/>
        <v>44862</v>
      </c>
      <c r="O909" t="str">
        <f>LEFT(Table1[[#This Row],[Department_Region]], FIND("-", Table1[[#This Row],[Department_Region]]) - 1)</f>
        <v>HR</v>
      </c>
      <c r="P909" t="str">
        <f>RIGHT(Table1[[#This Row],[Department_Region]],LEN(Table1[[#This Row],[Department_Region]]) - FIND("-",Table1[[#This Row],[Department_Region]]))</f>
        <v>California</v>
      </c>
      <c r="Q9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09" s="15"/>
    </row>
    <row r="910" spans="1:18" x14ac:dyDescent="0.2">
      <c r="A910" s="1">
        <v>908</v>
      </c>
      <c r="B910" s="6" t="s">
        <v>1506</v>
      </c>
      <c r="C910" t="s">
        <v>13</v>
      </c>
      <c r="D910" t="s">
        <v>14</v>
      </c>
      <c r="E910">
        <v>35</v>
      </c>
      <c r="F910" t="s">
        <v>215</v>
      </c>
      <c r="G910" t="s">
        <v>33</v>
      </c>
      <c r="H910" s="6" t="s">
        <v>776</v>
      </c>
      <c r="I910" s="11">
        <v>86867.78</v>
      </c>
      <c r="J910" t="s">
        <v>17</v>
      </c>
      <c r="K910">
        <v>-8131909247</v>
      </c>
      <c r="L910" t="s">
        <v>41</v>
      </c>
      <c r="M910" t="b">
        <v>0</v>
      </c>
      <c r="N910" s="17">
        <f t="shared" si="14"/>
        <v>44857</v>
      </c>
      <c r="O910" t="str">
        <f>LEFT(Table1[[#This Row],[Department_Region]], FIND("-", Table1[[#This Row],[Department_Region]]) - 1)</f>
        <v>HR</v>
      </c>
      <c r="P910" t="str">
        <f>RIGHT(Table1[[#This Row],[Department_Region]],LEN(Table1[[#This Row],[Department_Region]]) - FIND("-",Table1[[#This Row],[Department_Region]]))</f>
        <v>Florida</v>
      </c>
      <c r="Q9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0" s="15"/>
    </row>
    <row r="911" spans="1:18" x14ac:dyDescent="0.2">
      <c r="A911" s="1">
        <v>909</v>
      </c>
      <c r="B911" s="6" t="s">
        <v>1507</v>
      </c>
      <c r="C911" t="s">
        <v>32</v>
      </c>
      <c r="D911" t="s">
        <v>93</v>
      </c>
      <c r="E911">
        <v>40</v>
      </c>
      <c r="F911" t="s">
        <v>180</v>
      </c>
      <c r="G911" t="s">
        <v>28</v>
      </c>
      <c r="H911" s="6" t="s">
        <v>1508</v>
      </c>
      <c r="I911" s="11">
        <v>106615.71</v>
      </c>
      <c r="J911" t="s">
        <v>267</v>
      </c>
      <c r="K911">
        <v>-7623039110</v>
      </c>
      <c r="L911" t="s">
        <v>18</v>
      </c>
      <c r="M911" t="b">
        <v>0</v>
      </c>
      <c r="N911" s="17">
        <f t="shared" si="14"/>
        <v>45250</v>
      </c>
      <c r="O911" t="str">
        <f>LEFT(Table1[[#This Row],[Department_Region]], FIND("-", Table1[[#This Row],[Department_Region]]) - 1)</f>
        <v>Sales</v>
      </c>
      <c r="P911" t="str">
        <f>RIGHT(Table1[[#This Row],[Department_Region]],LEN(Table1[[#This Row],[Department_Region]]) - FIND("-",Table1[[#This Row],[Department_Region]]))</f>
        <v>California</v>
      </c>
      <c r="Q9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1" s="15"/>
    </row>
    <row r="912" spans="1:18" x14ac:dyDescent="0.2">
      <c r="A912" s="1">
        <v>910</v>
      </c>
      <c r="B912" s="6" t="s">
        <v>1509</v>
      </c>
      <c r="C912" t="s">
        <v>13</v>
      </c>
      <c r="D912" t="s">
        <v>38</v>
      </c>
      <c r="E912">
        <v>30</v>
      </c>
      <c r="F912" t="s">
        <v>21</v>
      </c>
      <c r="G912" t="s">
        <v>16</v>
      </c>
      <c r="H912" s="6" t="s">
        <v>1917</v>
      </c>
      <c r="I912" s="11">
        <v>112856.21</v>
      </c>
      <c r="J912" t="s">
        <v>146</v>
      </c>
      <c r="K912">
        <v>-4281785227</v>
      </c>
      <c r="L912" t="s">
        <v>41</v>
      </c>
      <c r="M912" t="b">
        <v>0</v>
      </c>
      <c r="N912" s="17">
        <f t="shared" si="14"/>
        <v>44631</v>
      </c>
      <c r="O912" t="str">
        <f>LEFT(Table1[[#This Row],[Department_Region]], FIND("-", Table1[[#This Row],[Department_Region]]) - 1)</f>
        <v>Finance</v>
      </c>
      <c r="P912" t="str">
        <f>RIGHT(Table1[[#This Row],[Department_Region]],LEN(Table1[[#This Row],[Department_Region]]) - FIND("-",Table1[[#This Row],[Department_Region]]))</f>
        <v>Texas</v>
      </c>
      <c r="Q9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2" s="15"/>
    </row>
    <row r="913" spans="1:18" x14ac:dyDescent="0.2">
      <c r="A913" s="1">
        <v>911</v>
      </c>
      <c r="B913" s="6" t="s">
        <v>1510</v>
      </c>
      <c r="C913" t="s">
        <v>13</v>
      </c>
      <c r="D913" t="s">
        <v>26</v>
      </c>
      <c r="E913">
        <v>25</v>
      </c>
      <c r="F913" t="s">
        <v>120</v>
      </c>
      <c r="G913" t="s">
        <v>16</v>
      </c>
      <c r="H913" s="6" t="s">
        <v>1212</v>
      </c>
      <c r="I913" s="11">
        <v>60356.78</v>
      </c>
      <c r="J913" t="s">
        <v>50</v>
      </c>
      <c r="K913">
        <v>-2305248087</v>
      </c>
      <c r="L913" t="s">
        <v>41</v>
      </c>
      <c r="M913" t="b">
        <v>1</v>
      </c>
      <c r="N913" s="17">
        <f t="shared" si="14"/>
        <v>45258</v>
      </c>
      <c r="O913" t="str">
        <f>LEFT(Table1[[#This Row],[Department_Region]], FIND("-", Table1[[#This Row],[Department_Region]]) - 1)</f>
        <v>Admin</v>
      </c>
      <c r="P913" t="str">
        <f>RIGHT(Table1[[#This Row],[Department_Region]],LEN(Table1[[#This Row],[Department_Region]]) - FIND("-",Table1[[#This Row],[Department_Region]]))</f>
        <v>California</v>
      </c>
      <c r="Q9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13" s="15"/>
    </row>
    <row r="914" spans="1:18" x14ac:dyDescent="0.2">
      <c r="A914" s="1">
        <v>912</v>
      </c>
      <c r="B914" s="6" t="s">
        <v>1511</v>
      </c>
      <c r="C914" t="s">
        <v>59</v>
      </c>
      <c r="D914" t="s">
        <v>26</v>
      </c>
      <c r="E914">
        <v>32</v>
      </c>
      <c r="F914" t="s">
        <v>241</v>
      </c>
      <c r="G914" t="s">
        <v>33</v>
      </c>
      <c r="H914" s="6" t="s">
        <v>1918</v>
      </c>
      <c r="I914" s="11">
        <v>117870.22</v>
      </c>
      <c r="J914" t="s">
        <v>246</v>
      </c>
      <c r="K914">
        <v>-622072238</v>
      </c>
      <c r="L914" t="s">
        <v>23</v>
      </c>
      <c r="M914" t="b">
        <v>0</v>
      </c>
      <c r="N914" s="17">
        <f t="shared" si="14"/>
        <v>44684</v>
      </c>
      <c r="O914" t="str">
        <f>LEFT(Table1[[#This Row],[Department_Region]], FIND("-", Table1[[#This Row],[Department_Region]]) - 1)</f>
        <v>DevOps</v>
      </c>
      <c r="P914" t="str">
        <f>RIGHT(Table1[[#This Row],[Department_Region]],LEN(Table1[[#This Row],[Department_Region]]) - FIND("-",Table1[[#This Row],[Department_Region]]))</f>
        <v>Texas</v>
      </c>
      <c r="Q9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14" s="15"/>
    </row>
    <row r="915" spans="1:18" x14ac:dyDescent="0.2">
      <c r="A915" s="1">
        <v>913</v>
      </c>
      <c r="B915" s="6" t="s">
        <v>1512</v>
      </c>
      <c r="C915" t="s">
        <v>54</v>
      </c>
      <c r="D915" t="s">
        <v>55</v>
      </c>
      <c r="E915">
        <v>40</v>
      </c>
      <c r="F915" t="s">
        <v>215</v>
      </c>
      <c r="G915" t="s">
        <v>33</v>
      </c>
      <c r="H915" s="6" t="s">
        <v>1513</v>
      </c>
      <c r="I915" s="11">
        <v>95127.91</v>
      </c>
      <c r="J915" t="s">
        <v>57</v>
      </c>
      <c r="K915">
        <v>-5947372131</v>
      </c>
      <c r="L915" t="s">
        <v>18</v>
      </c>
      <c r="M915" t="b">
        <v>0</v>
      </c>
      <c r="N915" s="17">
        <f t="shared" si="14"/>
        <v>45341</v>
      </c>
      <c r="O915" t="str">
        <f>LEFT(Table1[[#This Row],[Department_Region]], FIND("-", Table1[[#This Row],[Department_Region]]) - 1)</f>
        <v>HR</v>
      </c>
      <c r="P915" t="str">
        <f>RIGHT(Table1[[#This Row],[Department_Region]],LEN(Table1[[#This Row],[Department_Region]]) - FIND("-",Table1[[#This Row],[Department_Region]]))</f>
        <v>Florida</v>
      </c>
      <c r="Q9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5" s="15"/>
    </row>
    <row r="916" spans="1:18" x14ac:dyDescent="0.2">
      <c r="A916" s="1">
        <v>914</v>
      </c>
      <c r="B916" s="6" t="s">
        <v>1514</v>
      </c>
      <c r="C916" t="s">
        <v>13</v>
      </c>
      <c r="D916" t="s">
        <v>20</v>
      </c>
      <c r="E916">
        <v>25</v>
      </c>
      <c r="F916" t="s">
        <v>90</v>
      </c>
      <c r="G916" t="s">
        <v>28</v>
      </c>
      <c r="H916" s="6" t="s">
        <v>1515</v>
      </c>
      <c r="I916" s="11">
        <v>78818.42</v>
      </c>
      <c r="J916" t="s">
        <v>22</v>
      </c>
      <c r="K916">
        <v>-9016204786</v>
      </c>
      <c r="L916" t="s">
        <v>18</v>
      </c>
      <c r="M916" t="b">
        <v>0</v>
      </c>
      <c r="N916" s="17">
        <f t="shared" si="14"/>
        <v>44518</v>
      </c>
      <c r="O916" t="str">
        <f>LEFT(Table1[[#This Row],[Department_Region]], FIND("-", Table1[[#This Row],[Department_Region]]) - 1)</f>
        <v>Admin</v>
      </c>
      <c r="P916" t="str">
        <f>RIGHT(Table1[[#This Row],[Department_Region]],LEN(Table1[[#This Row],[Department_Region]]) - FIND("-",Table1[[#This Row],[Department_Region]]))</f>
        <v>Illinois</v>
      </c>
      <c r="Q9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6" s="15"/>
    </row>
    <row r="917" spans="1:18" x14ac:dyDescent="0.2">
      <c r="A917" s="1">
        <v>915</v>
      </c>
      <c r="B917" s="6" t="s">
        <v>1516</v>
      </c>
      <c r="C917" t="s">
        <v>37</v>
      </c>
      <c r="D917" t="s">
        <v>93</v>
      </c>
      <c r="E917">
        <v>40</v>
      </c>
      <c r="F917" t="s">
        <v>222</v>
      </c>
      <c r="G917" t="s">
        <v>28</v>
      </c>
      <c r="H917" s="6" t="s">
        <v>1517</v>
      </c>
      <c r="I917" s="11">
        <v>108933.55</v>
      </c>
      <c r="J917" t="s">
        <v>111</v>
      </c>
      <c r="K917">
        <v>-6886878598</v>
      </c>
      <c r="L917" t="s">
        <v>41</v>
      </c>
      <c r="M917" t="b">
        <v>1</v>
      </c>
      <c r="N917" s="17">
        <f t="shared" si="14"/>
        <v>44916</v>
      </c>
      <c r="O917" t="str">
        <f>LEFT(Table1[[#This Row],[Department_Region]], FIND("-", Table1[[#This Row],[Department_Region]]) - 1)</f>
        <v>Sales</v>
      </c>
      <c r="P917" t="str">
        <f>RIGHT(Table1[[#This Row],[Department_Region]],LEN(Table1[[#This Row],[Department_Region]]) - FIND("-",Table1[[#This Row],[Department_Region]]))</f>
        <v>Nevada</v>
      </c>
      <c r="Q9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7" s="15"/>
    </row>
    <row r="918" spans="1:18" x14ac:dyDescent="0.2">
      <c r="A918" s="1">
        <v>916</v>
      </c>
      <c r="B918" s="6" t="s">
        <v>1518</v>
      </c>
      <c r="C918" t="s">
        <v>32</v>
      </c>
      <c r="D918" t="s">
        <v>55</v>
      </c>
      <c r="E918">
        <v>32</v>
      </c>
      <c r="F918" t="s">
        <v>120</v>
      </c>
      <c r="G918" t="s">
        <v>16</v>
      </c>
      <c r="H918" s="6" t="s">
        <v>1744</v>
      </c>
      <c r="I918" s="11">
        <v>68200.52</v>
      </c>
      <c r="J918" t="s">
        <v>327</v>
      </c>
      <c r="K918">
        <v>-6486287202</v>
      </c>
      <c r="L918" t="s">
        <v>18</v>
      </c>
      <c r="M918" t="b">
        <v>1</v>
      </c>
      <c r="N918" s="17">
        <f t="shared" si="14"/>
        <v>45447</v>
      </c>
      <c r="O918" t="str">
        <f>LEFT(Table1[[#This Row],[Department_Region]], FIND("-", Table1[[#This Row],[Department_Region]]) - 1)</f>
        <v>Admin</v>
      </c>
      <c r="P918" t="str">
        <f>RIGHT(Table1[[#This Row],[Department_Region]],LEN(Table1[[#This Row],[Department_Region]]) - FIND("-",Table1[[#This Row],[Department_Region]]))</f>
        <v>California</v>
      </c>
      <c r="Q9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18" s="15"/>
    </row>
    <row r="919" spans="1:18" x14ac:dyDescent="0.2">
      <c r="A919" s="1">
        <v>917</v>
      </c>
      <c r="B919" s="6" t="s">
        <v>1519</v>
      </c>
      <c r="C919" t="s">
        <v>32</v>
      </c>
      <c r="D919" t="s">
        <v>20</v>
      </c>
      <c r="E919">
        <v>25</v>
      </c>
      <c r="F919" t="s">
        <v>120</v>
      </c>
      <c r="G919" t="s">
        <v>33</v>
      </c>
      <c r="H919" s="6" t="s">
        <v>1520</v>
      </c>
      <c r="I919" s="11">
        <v>116934.97</v>
      </c>
      <c r="J919" t="s">
        <v>157</v>
      </c>
      <c r="K919">
        <v>-1954196663</v>
      </c>
      <c r="L919" t="s">
        <v>30</v>
      </c>
      <c r="M919" t="b">
        <v>1</v>
      </c>
      <c r="N919" s="17">
        <f t="shared" si="14"/>
        <v>44764</v>
      </c>
      <c r="O919" t="str">
        <f>LEFT(Table1[[#This Row],[Department_Region]], FIND("-", Table1[[#This Row],[Department_Region]]) - 1)</f>
        <v>Admin</v>
      </c>
      <c r="P919" t="str">
        <f>RIGHT(Table1[[#This Row],[Department_Region]],LEN(Table1[[#This Row],[Department_Region]]) - FIND("-",Table1[[#This Row],[Department_Region]]))</f>
        <v>California</v>
      </c>
      <c r="Q9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19" s="15"/>
    </row>
    <row r="920" spans="1:18" x14ac:dyDescent="0.2">
      <c r="A920" s="1">
        <v>918</v>
      </c>
      <c r="B920" s="6" t="s">
        <v>1521</v>
      </c>
      <c r="C920" t="s">
        <v>54</v>
      </c>
      <c r="D920" t="s">
        <v>20</v>
      </c>
      <c r="E920">
        <v>32</v>
      </c>
      <c r="F920" t="s">
        <v>66</v>
      </c>
      <c r="G920" t="s">
        <v>16</v>
      </c>
      <c r="H920" s="6" t="s">
        <v>836</v>
      </c>
      <c r="I920" s="11">
        <v>99567.78</v>
      </c>
      <c r="J920" t="s">
        <v>127</v>
      </c>
      <c r="K920">
        <v>-5057303626</v>
      </c>
      <c r="L920" t="s">
        <v>30</v>
      </c>
      <c r="M920" t="b">
        <v>1</v>
      </c>
      <c r="N920" s="17">
        <f t="shared" si="14"/>
        <v>45549</v>
      </c>
      <c r="O920" t="str">
        <f>LEFT(Table1[[#This Row],[Department_Region]], FIND("-", Table1[[#This Row],[Department_Region]]) - 1)</f>
        <v>HR</v>
      </c>
      <c r="P920" t="str">
        <f>RIGHT(Table1[[#This Row],[Department_Region]],LEN(Table1[[#This Row],[Department_Region]]) - FIND("-",Table1[[#This Row],[Department_Region]]))</f>
        <v>New York</v>
      </c>
      <c r="Q9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20" s="15"/>
    </row>
    <row r="921" spans="1:18" x14ac:dyDescent="0.2">
      <c r="A921" s="1">
        <v>919</v>
      </c>
      <c r="B921" s="6" t="s">
        <v>1522</v>
      </c>
      <c r="C921" t="s">
        <v>54</v>
      </c>
      <c r="D921" t="s">
        <v>43</v>
      </c>
      <c r="E921">
        <v>30</v>
      </c>
      <c r="F921" t="s">
        <v>104</v>
      </c>
      <c r="G921" t="s">
        <v>16</v>
      </c>
      <c r="H921" s="6" t="s">
        <v>1523</v>
      </c>
      <c r="I921" s="11">
        <v>90216.76</v>
      </c>
      <c r="J921" t="s">
        <v>88</v>
      </c>
      <c r="K921">
        <v>-9246320373</v>
      </c>
      <c r="L921" t="s">
        <v>18</v>
      </c>
      <c r="M921" t="b">
        <v>1</v>
      </c>
      <c r="N921" s="17">
        <f t="shared" si="14"/>
        <v>44479</v>
      </c>
      <c r="O921" t="str">
        <f>LEFT(Table1[[#This Row],[Department_Region]], FIND("-", Table1[[#This Row],[Department_Region]]) - 1)</f>
        <v>Admin</v>
      </c>
      <c r="P921" t="str">
        <f>RIGHT(Table1[[#This Row],[Department_Region]],LEN(Table1[[#This Row],[Department_Region]]) - FIND("-",Table1[[#This Row],[Department_Region]]))</f>
        <v>Texas</v>
      </c>
      <c r="Q9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21" s="15"/>
    </row>
    <row r="922" spans="1:18" x14ac:dyDescent="0.2">
      <c r="A922" s="1">
        <v>920</v>
      </c>
      <c r="B922" s="6" t="s">
        <v>1524</v>
      </c>
      <c r="C922" t="s">
        <v>37</v>
      </c>
      <c r="D922" t="s">
        <v>26</v>
      </c>
      <c r="E922">
        <v>30</v>
      </c>
      <c r="F922" t="s">
        <v>90</v>
      </c>
      <c r="G922" t="s">
        <v>28</v>
      </c>
      <c r="H922" s="6" t="s">
        <v>1919</v>
      </c>
      <c r="I922" s="11">
        <v>96588.73</v>
      </c>
      <c r="J922" t="s">
        <v>47</v>
      </c>
      <c r="K922">
        <v>-7677537259</v>
      </c>
      <c r="L922" t="s">
        <v>18</v>
      </c>
      <c r="M922" t="b">
        <v>1</v>
      </c>
      <c r="N922" s="17">
        <f t="shared" si="14"/>
        <v>43902</v>
      </c>
      <c r="O922" t="str">
        <f>LEFT(Table1[[#This Row],[Department_Region]], FIND("-", Table1[[#This Row],[Department_Region]]) - 1)</f>
        <v>Admin</v>
      </c>
      <c r="P922" t="str">
        <f>RIGHT(Table1[[#This Row],[Department_Region]],LEN(Table1[[#This Row],[Department_Region]]) - FIND("-",Table1[[#This Row],[Department_Region]]))</f>
        <v>Illinois</v>
      </c>
      <c r="Q92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22" s="15"/>
    </row>
    <row r="923" spans="1:18" x14ac:dyDescent="0.2">
      <c r="A923" s="1">
        <v>921</v>
      </c>
      <c r="B923" s="6" t="s">
        <v>1525</v>
      </c>
      <c r="C923" t="s">
        <v>54</v>
      </c>
      <c r="D923" t="s">
        <v>14</v>
      </c>
      <c r="E923">
        <v>35</v>
      </c>
      <c r="F923" t="s">
        <v>269</v>
      </c>
      <c r="G923" t="s">
        <v>16</v>
      </c>
      <c r="H923" s="6" t="s">
        <v>528</v>
      </c>
      <c r="I923" s="11">
        <v>71109.179999999993</v>
      </c>
      <c r="J923" t="s">
        <v>173</v>
      </c>
      <c r="K923">
        <v>-3214505765</v>
      </c>
      <c r="L923" t="s">
        <v>41</v>
      </c>
      <c r="M923" t="b">
        <v>1</v>
      </c>
      <c r="N923" s="17">
        <f t="shared" si="14"/>
        <v>44923</v>
      </c>
      <c r="O923" t="str">
        <f>LEFT(Table1[[#This Row],[Department_Region]], FIND("-", Table1[[#This Row],[Department_Region]]) - 1)</f>
        <v>Finance</v>
      </c>
      <c r="P923" t="str">
        <f>RIGHT(Table1[[#This Row],[Department_Region]],LEN(Table1[[#This Row],[Department_Region]]) - FIND("-",Table1[[#This Row],[Department_Region]]))</f>
        <v>Illinois</v>
      </c>
      <c r="Q92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3" s="15"/>
    </row>
    <row r="924" spans="1:18" x14ac:dyDescent="0.2">
      <c r="A924" s="1">
        <v>922</v>
      </c>
      <c r="B924" s="6" t="s">
        <v>1526</v>
      </c>
      <c r="C924" t="s">
        <v>69</v>
      </c>
      <c r="D924" t="s">
        <v>124</v>
      </c>
      <c r="E924">
        <v>40</v>
      </c>
      <c r="F924" t="s">
        <v>208</v>
      </c>
      <c r="G924" t="s">
        <v>33</v>
      </c>
      <c r="H924" s="6" t="s">
        <v>1136</v>
      </c>
      <c r="I924" s="11">
        <v>50300.6</v>
      </c>
      <c r="J924" t="s">
        <v>137</v>
      </c>
      <c r="K924">
        <v>-1945887070</v>
      </c>
      <c r="L924" t="s">
        <v>30</v>
      </c>
      <c r="M924" t="b">
        <v>0</v>
      </c>
      <c r="N924" s="17">
        <f t="shared" si="14"/>
        <v>44150</v>
      </c>
      <c r="O924" t="str">
        <f>LEFT(Table1[[#This Row],[Department_Region]], FIND("-", Table1[[#This Row],[Department_Region]]) - 1)</f>
        <v>Admin</v>
      </c>
      <c r="P924" t="str">
        <f>RIGHT(Table1[[#This Row],[Department_Region]],LEN(Table1[[#This Row],[Department_Region]]) - FIND("-",Table1[[#This Row],[Department_Region]]))</f>
        <v>Florida</v>
      </c>
      <c r="Q92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4" s="15"/>
    </row>
    <row r="925" spans="1:18" x14ac:dyDescent="0.2">
      <c r="A925" s="1">
        <v>923</v>
      </c>
      <c r="B925" s="6" t="s">
        <v>1527</v>
      </c>
      <c r="C925" t="s">
        <v>37</v>
      </c>
      <c r="D925" t="s">
        <v>14</v>
      </c>
      <c r="E925">
        <v>35</v>
      </c>
      <c r="F925" t="s">
        <v>70</v>
      </c>
      <c r="G925" t="s">
        <v>28</v>
      </c>
      <c r="H925" s="6" t="s">
        <v>167</v>
      </c>
      <c r="I925" s="11">
        <v>60295.839999999997</v>
      </c>
      <c r="J925" t="s">
        <v>52</v>
      </c>
      <c r="K925">
        <v>-5534820127</v>
      </c>
      <c r="L925" t="s">
        <v>30</v>
      </c>
      <c r="M925" t="b">
        <v>0</v>
      </c>
      <c r="N925" s="17">
        <f t="shared" si="14"/>
        <v>45196</v>
      </c>
      <c r="O925" t="str">
        <f>LEFT(Table1[[#This Row],[Department_Region]], FIND("-", Table1[[#This Row],[Department_Region]]) - 1)</f>
        <v>Finance</v>
      </c>
      <c r="P925" t="str">
        <f>RIGHT(Table1[[#This Row],[Department_Region]],LEN(Table1[[#This Row],[Department_Region]]) - FIND("-",Table1[[#This Row],[Department_Region]]))</f>
        <v>California</v>
      </c>
      <c r="Q92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5" s="15"/>
    </row>
    <row r="926" spans="1:18" x14ac:dyDescent="0.2">
      <c r="A926" s="1">
        <v>924</v>
      </c>
      <c r="B926" s="6" t="s">
        <v>1528</v>
      </c>
      <c r="C926" t="s">
        <v>65</v>
      </c>
      <c r="D926" t="s">
        <v>124</v>
      </c>
      <c r="E926">
        <v>35</v>
      </c>
      <c r="F926" t="s">
        <v>241</v>
      </c>
      <c r="G926" t="s">
        <v>28</v>
      </c>
      <c r="H926" s="6" t="s">
        <v>1920</v>
      </c>
      <c r="I926" s="11">
        <v>113012.21</v>
      </c>
      <c r="J926" t="s">
        <v>372</v>
      </c>
      <c r="K926">
        <v>-4008385075</v>
      </c>
      <c r="L926" t="s">
        <v>23</v>
      </c>
      <c r="M926" t="b">
        <v>0</v>
      </c>
      <c r="N926" s="17">
        <f t="shared" si="14"/>
        <v>44811</v>
      </c>
      <c r="O926" t="str">
        <f>LEFT(Table1[[#This Row],[Department_Region]], FIND("-", Table1[[#This Row],[Department_Region]]) - 1)</f>
        <v>DevOps</v>
      </c>
      <c r="P926" t="str">
        <f>RIGHT(Table1[[#This Row],[Department_Region]],LEN(Table1[[#This Row],[Department_Region]]) - FIND("-",Table1[[#This Row],[Department_Region]]))</f>
        <v>Texas</v>
      </c>
      <c r="Q92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6" s="15"/>
    </row>
    <row r="927" spans="1:18" x14ac:dyDescent="0.2">
      <c r="A927" s="1">
        <v>925</v>
      </c>
      <c r="B927" s="6" t="s">
        <v>1529</v>
      </c>
      <c r="C927" t="s">
        <v>13</v>
      </c>
      <c r="D927" t="s">
        <v>38</v>
      </c>
      <c r="E927">
        <v>35</v>
      </c>
      <c r="F927" t="s">
        <v>39</v>
      </c>
      <c r="G927" t="s">
        <v>28</v>
      </c>
      <c r="H927" s="6" t="s">
        <v>1446</v>
      </c>
      <c r="I927" s="11">
        <v>65425.54</v>
      </c>
      <c r="J927" t="s">
        <v>146</v>
      </c>
      <c r="K927">
        <v>-5975954507</v>
      </c>
      <c r="L927" t="s">
        <v>41</v>
      </c>
      <c r="M927" t="b">
        <v>1</v>
      </c>
      <c r="N927" s="17">
        <f t="shared" si="14"/>
        <v>45553</v>
      </c>
      <c r="O927" t="str">
        <f>LEFT(Table1[[#This Row],[Department_Region]], FIND("-", Table1[[#This Row],[Department_Region]]) - 1)</f>
        <v>Cloud Tech</v>
      </c>
      <c r="P927" t="str">
        <f>RIGHT(Table1[[#This Row],[Department_Region]],LEN(Table1[[#This Row],[Department_Region]]) - FIND("-",Table1[[#This Row],[Department_Region]]))</f>
        <v>Florida</v>
      </c>
      <c r="Q92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27" s="15"/>
    </row>
    <row r="928" spans="1:18" x14ac:dyDescent="0.2">
      <c r="A928" s="1">
        <v>926</v>
      </c>
      <c r="B928" s="6" t="s">
        <v>1530</v>
      </c>
      <c r="C928" t="s">
        <v>37</v>
      </c>
      <c r="D928" t="s">
        <v>26</v>
      </c>
      <c r="E928">
        <v>25</v>
      </c>
      <c r="F928" t="s">
        <v>222</v>
      </c>
      <c r="G928" t="s">
        <v>16</v>
      </c>
      <c r="H928" s="6" t="s">
        <v>1723</v>
      </c>
      <c r="I928" s="11">
        <v>86850.37</v>
      </c>
      <c r="J928" t="s">
        <v>47</v>
      </c>
      <c r="K928">
        <v>-9177680897</v>
      </c>
      <c r="L928" t="s">
        <v>23</v>
      </c>
      <c r="M928" t="b">
        <v>1</v>
      </c>
      <c r="N928" s="17">
        <f t="shared" si="14"/>
        <v>45025</v>
      </c>
      <c r="O928" t="str">
        <f>LEFT(Table1[[#This Row],[Department_Region]], FIND("-", Table1[[#This Row],[Department_Region]]) - 1)</f>
        <v>Sales</v>
      </c>
      <c r="P928" t="str">
        <f>RIGHT(Table1[[#This Row],[Department_Region]],LEN(Table1[[#This Row],[Department_Region]]) - FIND("-",Table1[[#This Row],[Department_Region]]))</f>
        <v>Nevada</v>
      </c>
      <c r="Q92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8" s="15"/>
    </row>
    <row r="929" spans="1:18" x14ac:dyDescent="0.2">
      <c r="A929" s="1">
        <v>927</v>
      </c>
      <c r="B929" s="6" t="s">
        <v>1531</v>
      </c>
      <c r="C929" t="s">
        <v>32</v>
      </c>
      <c r="D929" t="s">
        <v>20</v>
      </c>
      <c r="E929">
        <v>30</v>
      </c>
      <c r="F929" t="s">
        <v>161</v>
      </c>
      <c r="G929" t="s">
        <v>28</v>
      </c>
      <c r="H929" s="6" t="s">
        <v>1921</v>
      </c>
      <c r="I929" s="11">
        <v>81182.070000000007</v>
      </c>
      <c r="J929" t="s">
        <v>157</v>
      </c>
      <c r="K929">
        <v>-1265742230</v>
      </c>
      <c r="L929" t="s">
        <v>30</v>
      </c>
      <c r="M929" t="b">
        <v>1</v>
      </c>
      <c r="N929" s="17">
        <f t="shared" si="14"/>
        <v>45570</v>
      </c>
      <c r="O929" t="str">
        <f>LEFT(Table1[[#This Row],[Department_Region]], FIND("-", Table1[[#This Row],[Department_Region]]) - 1)</f>
        <v>Cloud Tech</v>
      </c>
      <c r="P929" t="str">
        <f>RIGHT(Table1[[#This Row],[Department_Region]],LEN(Table1[[#This Row],[Department_Region]]) - FIND("-",Table1[[#This Row],[Department_Region]]))</f>
        <v>Texas</v>
      </c>
      <c r="Q92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29" s="15"/>
    </row>
    <row r="930" spans="1:18" x14ac:dyDescent="0.2">
      <c r="A930" s="1">
        <v>928</v>
      </c>
      <c r="B930" s="6" t="s">
        <v>1532</v>
      </c>
      <c r="C930" t="s">
        <v>13</v>
      </c>
      <c r="D930" t="s">
        <v>93</v>
      </c>
      <c r="E930">
        <v>32</v>
      </c>
      <c r="F930" t="s">
        <v>230</v>
      </c>
      <c r="G930" t="s">
        <v>33</v>
      </c>
      <c r="H930" s="6" t="s">
        <v>1533</v>
      </c>
      <c r="I930" s="11">
        <v>92222.03</v>
      </c>
      <c r="J930" t="s">
        <v>94</v>
      </c>
      <c r="K930">
        <v>-9646300401</v>
      </c>
      <c r="L930" t="s">
        <v>41</v>
      </c>
      <c r="M930" t="b">
        <v>1</v>
      </c>
      <c r="N930" s="17">
        <f t="shared" si="14"/>
        <v>44481</v>
      </c>
      <c r="O930" t="str">
        <f>LEFT(Table1[[#This Row],[Department_Region]], FIND("-", Table1[[#This Row],[Department_Region]]) - 1)</f>
        <v>Finance</v>
      </c>
      <c r="P930" t="str">
        <f>RIGHT(Table1[[#This Row],[Department_Region]],LEN(Table1[[#This Row],[Department_Region]]) - FIND("-",Table1[[#This Row],[Department_Region]]))</f>
        <v>New York</v>
      </c>
      <c r="Q93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0" s="15"/>
    </row>
    <row r="931" spans="1:18" x14ac:dyDescent="0.2">
      <c r="A931" s="1">
        <v>929</v>
      </c>
      <c r="B931" s="6" t="s">
        <v>1534</v>
      </c>
      <c r="C931" t="s">
        <v>25</v>
      </c>
      <c r="D931" t="s">
        <v>124</v>
      </c>
      <c r="E931">
        <v>35</v>
      </c>
      <c r="F931" t="s">
        <v>230</v>
      </c>
      <c r="G931" t="s">
        <v>28</v>
      </c>
      <c r="H931" s="6" t="s">
        <v>1535</v>
      </c>
      <c r="I931" s="11">
        <v>79934.83</v>
      </c>
      <c r="J931" t="s">
        <v>185</v>
      </c>
      <c r="K931">
        <v>-3693626893</v>
      </c>
      <c r="L931" t="s">
        <v>18</v>
      </c>
      <c r="M931" t="b">
        <v>1</v>
      </c>
      <c r="N931" s="17">
        <f t="shared" si="14"/>
        <v>45579</v>
      </c>
      <c r="O931" t="str">
        <f>LEFT(Table1[[#This Row],[Department_Region]], FIND("-", Table1[[#This Row],[Department_Region]]) - 1)</f>
        <v>Finance</v>
      </c>
      <c r="P931" t="str">
        <f>RIGHT(Table1[[#This Row],[Department_Region]],LEN(Table1[[#This Row],[Department_Region]]) - FIND("-",Table1[[#This Row],[Department_Region]]))</f>
        <v>New York</v>
      </c>
      <c r="Q93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1" s="15"/>
    </row>
    <row r="932" spans="1:18" x14ac:dyDescent="0.2">
      <c r="A932" s="1">
        <v>930</v>
      </c>
      <c r="B932" s="6" t="s">
        <v>1536</v>
      </c>
      <c r="C932" t="s">
        <v>25</v>
      </c>
      <c r="D932" t="s">
        <v>14</v>
      </c>
      <c r="E932">
        <v>35</v>
      </c>
      <c r="F932" t="s">
        <v>148</v>
      </c>
      <c r="G932" t="s">
        <v>33</v>
      </c>
      <c r="H932" s="6" t="s">
        <v>1922</v>
      </c>
      <c r="I932" s="11">
        <v>111201.12</v>
      </c>
      <c r="J932" t="s">
        <v>165</v>
      </c>
      <c r="K932">
        <v>-3012047136</v>
      </c>
      <c r="L932" t="s">
        <v>41</v>
      </c>
      <c r="M932" t="b">
        <v>0</v>
      </c>
      <c r="N932" s="17">
        <f t="shared" si="14"/>
        <v>44743</v>
      </c>
      <c r="O932" t="str">
        <f>LEFT(Table1[[#This Row],[Department_Region]], FIND("-", Table1[[#This Row],[Department_Region]]) - 1)</f>
        <v>HR</v>
      </c>
      <c r="P932" t="str">
        <f>RIGHT(Table1[[#This Row],[Department_Region]],LEN(Table1[[#This Row],[Department_Region]]) - FIND("-",Table1[[#This Row],[Department_Region]]))</f>
        <v>California</v>
      </c>
      <c r="Q93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32" s="15"/>
    </row>
    <row r="933" spans="1:18" x14ac:dyDescent="0.2">
      <c r="A933" s="1">
        <v>931</v>
      </c>
      <c r="B933" s="6" t="s">
        <v>1537</v>
      </c>
      <c r="C933" t="s">
        <v>65</v>
      </c>
      <c r="D933" t="s">
        <v>20</v>
      </c>
      <c r="E933">
        <v>40</v>
      </c>
      <c r="F933" t="s">
        <v>70</v>
      </c>
      <c r="G933" t="s">
        <v>16</v>
      </c>
      <c r="H933" s="6" t="s">
        <v>1901</v>
      </c>
      <c r="I933" s="11">
        <v>100960.05</v>
      </c>
      <c r="J933" t="s">
        <v>410</v>
      </c>
      <c r="K933">
        <v>-2711759573</v>
      </c>
      <c r="L933" t="s">
        <v>18</v>
      </c>
      <c r="M933" t="b">
        <v>0</v>
      </c>
      <c r="N933" s="17">
        <f t="shared" si="14"/>
        <v>45481</v>
      </c>
      <c r="O933" t="str">
        <f>LEFT(Table1[[#This Row],[Department_Region]], FIND("-", Table1[[#This Row],[Department_Region]]) - 1)</f>
        <v>Finance</v>
      </c>
      <c r="P933" t="str">
        <f>RIGHT(Table1[[#This Row],[Department_Region]],LEN(Table1[[#This Row],[Department_Region]]) - FIND("-",Table1[[#This Row],[Department_Region]]))</f>
        <v>California</v>
      </c>
      <c r="Q93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3" s="15"/>
    </row>
    <row r="934" spans="1:18" x14ac:dyDescent="0.2">
      <c r="A934" s="1">
        <v>932</v>
      </c>
      <c r="B934" s="6" t="s">
        <v>1538</v>
      </c>
      <c r="C934" t="s">
        <v>69</v>
      </c>
      <c r="D934" t="s">
        <v>124</v>
      </c>
      <c r="E934">
        <v>30</v>
      </c>
      <c r="F934" t="s">
        <v>99</v>
      </c>
      <c r="G934" t="s">
        <v>16</v>
      </c>
      <c r="H934" s="6" t="s">
        <v>1539</v>
      </c>
      <c r="I934" s="11">
        <v>64544.87</v>
      </c>
      <c r="J934" t="s">
        <v>137</v>
      </c>
      <c r="K934">
        <v>-9885582983</v>
      </c>
      <c r="L934" t="s">
        <v>18</v>
      </c>
      <c r="M934" t="b">
        <v>1</v>
      </c>
      <c r="N934" s="17">
        <f t="shared" si="14"/>
        <v>44125</v>
      </c>
      <c r="O934" t="str">
        <f>LEFT(Table1[[#This Row],[Department_Region]], FIND("-", Table1[[#This Row],[Department_Region]]) - 1)</f>
        <v>Sales</v>
      </c>
      <c r="P934" t="str">
        <f>RIGHT(Table1[[#This Row],[Department_Region]],LEN(Table1[[#This Row],[Department_Region]]) - FIND("-",Table1[[#This Row],[Department_Region]]))</f>
        <v>Illinois</v>
      </c>
      <c r="Q93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4" s="15"/>
    </row>
    <row r="935" spans="1:18" x14ac:dyDescent="0.2">
      <c r="A935" s="1">
        <v>933</v>
      </c>
      <c r="B935" s="6" t="s">
        <v>1540</v>
      </c>
      <c r="C935" t="s">
        <v>37</v>
      </c>
      <c r="D935" t="s">
        <v>124</v>
      </c>
      <c r="E935">
        <v>25</v>
      </c>
      <c r="F935" t="s">
        <v>75</v>
      </c>
      <c r="G935" t="s">
        <v>16</v>
      </c>
      <c r="H935" s="6" t="s">
        <v>1541</v>
      </c>
      <c r="I935" s="11">
        <v>78662.240000000005</v>
      </c>
      <c r="J935" t="s">
        <v>139</v>
      </c>
      <c r="K935">
        <v>-9330674583</v>
      </c>
      <c r="L935" t="s">
        <v>41</v>
      </c>
      <c r="M935" t="b">
        <v>1</v>
      </c>
      <c r="N935" s="17">
        <f t="shared" si="14"/>
        <v>43844</v>
      </c>
      <c r="O935" t="str">
        <f>LEFT(Table1[[#This Row],[Department_Region]], FIND("-", Table1[[#This Row],[Department_Region]]) - 1)</f>
        <v>Sales</v>
      </c>
      <c r="P935" t="str">
        <f>RIGHT(Table1[[#This Row],[Department_Region]],LEN(Table1[[#This Row],[Department_Region]]) - FIND("-",Table1[[#This Row],[Department_Region]]))</f>
        <v>Florida</v>
      </c>
      <c r="Q93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5" s="15"/>
    </row>
    <row r="936" spans="1:18" x14ac:dyDescent="0.2">
      <c r="A936" s="1">
        <v>934</v>
      </c>
      <c r="B936" s="6" t="s">
        <v>1542</v>
      </c>
      <c r="C936" t="s">
        <v>69</v>
      </c>
      <c r="D936" t="s">
        <v>43</v>
      </c>
      <c r="E936">
        <v>30</v>
      </c>
      <c r="F936" t="s">
        <v>75</v>
      </c>
      <c r="G936" t="s">
        <v>28</v>
      </c>
      <c r="H936" s="6" t="s">
        <v>1923</v>
      </c>
      <c r="I936" s="11">
        <v>102867.06</v>
      </c>
      <c r="J936" t="s">
        <v>84</v>
      </c>
      <c r="K936">
        <v>-7609441282</v>
      </c>
      <c r="L936" t="s">
        <v>18</v>
      </c>
      <c r="M936" t="b">
        <v>1</v>
      </c>
      <c r="N936" s="17">
        <f t="shared" si="14"/>
        <v>44994</v>
      </c>
      <c r="O936" t="str">
        <f>LEFT(Table1[[#This Row],[Department_Region]], FIND("-", Table1[[#This Row],[Department_Region]]) - 1)</f>
        <v>Sales</v>
      </c>
      <c r="P936" t="str">
        <f>RIGHT(Table1[[#This Row],[Department_Region]],LEN(Table1[[#This Row],[Department_Region]]) - FIND("-",Table1[[#This Row],[Department_Region]]))</f>
        <v>Florida</v>
      </c>
      <c r="Q93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36" s="15"/>
    </row>
    <row r="937" spans="1:18" x14ac:dyDescent="0.2">
      <c r="A937" s="1">
        <v>935</v>
      </c>
      <c r="B937" s="6" t="s">
        <v>1543</v>
      </c>
      <c r="C937" t="s">
        <v>54</v>
      </c>
      <c r="D937" t="s">
        <v>124</v>
      </c>
      <c r="E937">
        <v>40</v>
      </c>
      <c r="F937" t="s">
        <v>195</v>
      </c>
      <c r="G937" t="s">
        <v>33</v>
      </c>
      <c r="H937" s="6" t="s">
        <v>1138</v>
      </c>
      <c r="I937" s="11">
        <v>107595.95</v>
      </c>
      <c r="J937" t="s">
        <v>197</v>
      </c>
      <c r="K937">
        <v>-3372188565</v>
      </c>
      <c r="L937" t="s">
        <v>23</v>
      </c>
      <c r="M937" t="b">
        <v>1</v>
      </c>
      <c r="N937" s="17">
        <f t="shared" si="14"/>
        <v>43917</v>
      </c>
      <c r="O937" t="str">
        <f>LEFT(Table1[[#This Row],[Department_Region]], FIND("-", Table1[[#This Row],[Department_Region]]) - 1)</f>
        <v>HR</v>
      </c>
      <c r="P937" t="str">
        <f>RIGHT(Table1[[#This Row],[Department_Region]],LEN(Table1[[#This Row],[Department_Region]]) - FIND("-",Table1[[#This Row],[Department_Region]]))</f>
        <v>Illinois</v>
      </c>
      <c r="Q93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37" s="15"/>
    </row>
    <row r="938" spans="1:18" x14ac:dyDescent="0.2">
      <c r="A938" s="1">
        <v>936</v>
      </c>
      <c r="B938" s="6" t="s">
        <v>1544</v>
      </c>
      <c r="C938" t="s">
        <v>32</v>
      </c>
      <c r="D938" t="s">
        <v>93</v>
      </c>
      <c r="E938">
        <v>40</v>
      </c>
      <c r="F938" t="s">
        <v>222</v>
      </c>
      <c r="G938" t="s">
        <v>33</v>
      </c>
      <c r="H938" s="6" t="s">
        <v>1924</v>
      </c>
      <c r="I938" s="11">
        <v>85165.05</v>
      </c>
      <c r="J938" t="s">
        <v>267</v>
      </c>
      <c r="K938">
        <v>-6954132970</v>
      </c>
      <c r="L938" t="s">
        <v>30</v>
      </c>
      <c r="M938" t="b">
        <v>0</v>
      </c>
      <c r="N938" s="17">
        <f t="shared" si="14"/>
        <v>44290</v>
      </c>
      <c r="O938" t="str">
        <f>LEFT(Table1[[#This Row],[Department_Region]], FIND("-", Table1[[#This Row],[Department_Region]]) - 1)</f>
        <v>Sales</v>
      </c>
      <c r="P938" t="str">
        <f>RIGHT(Table1[[#This Row],[Department_Region]],LEN(Table1[[#This Row],[Department_Region]]) - FIND("-",Table1[[#This Row],[Department_Region]]))</f>
        <v>Nevada</v>
      </c>
      <c r="Q93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8" s="15"/>
    </row>
    <row r="939" spans="1:18" x14ac:dyDescent="0.2">
      <c r="A939" s="1">
        <v>937</v>
      </c>
      <c r="B939" s="6" t="s">
        <v>1545</v>
      </c>
      <c r="C939" t="s">
        <v>32</v>
      </c>
      <c r="D939" t="s">
        <v>26</v>
      </c>
      <c r="E939">
        <v>35</v>
      </c>
      <c r="F939" t="s">
        <v>333</v>
      </c>
      <c r="G939" t="s">
        <v>33</v>
      </c>
      <c r="H939" s="6" t="s">
        <v>1925</v>
      </c>
      <c r="I939" s="11">
        <v>95766.91</v>
      </c>
      <c r="J939" t="s">
        <v>281</v>
      </c>
      <c r="K939">
        <v>-5066626704</v>
      </c>
      <c r="L939" t="s">
        <v>18</v>
      </c>
      <c r="M939" t="b">
        <v>1</v>
      </c>
      <c r="N939" s="17">
        <f t="shared" si="14"/>
        <v>44085</v>
      </c>
      <c r="O939" t="str">
        <f>LEFT(Table1[[#This Row],[Department_Region]], FIND("-", Table1[[#This Row],[Department_Region]]) - 1)</f>
        <v>DevOps</v>
      </c>
      <c r="P939" t="str">
        <f>RIGHT(Table1[[#This Row],[Department_Region]],LEN(Table1[[#This Row],[Department_Region]]) - FIND("-",Table1[[#This Row],[Department_Region]]))</f>
        <v>Nevada</v>
      </c>
      <c r="Q93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39" s="15"/>
    </row>
    <row r="940" spans="1:18" x14ac:dyDescent="0.2">
      <c r="A940" s="1">
        <v>938</v>
      </c>
      <c r="B940" s="6" t="s">
        <v>1546</v>
      </c>
      <c r="C940" t="s">
        <v>69</v>
      </c>
      <c r="D940" t="s">
        <v>93</v>
      </c>
      <c r="E940">
        <v>30</v>
      </c>
      <c r="F940" t="s">
        <v>101</v>
      </c>
      <c r="G940" t="s">
        <v>28</v>
      </c>
      <c r="H940" s="6" t="s">
        <v>1547</v>
      </c>
      <c r="I940" s="11">
        <v>51990.98</v>
      </c>
      <c r="J940" t="s">
        <v>170</v>
      </c>
      <c r="K940">
        <v>-5143776935</v>
      </c>
      <c r="L940" t="s">
        <v>23</v>
      </c>
      <c r="M940" t="b">
        <v>1</v>
      </c>
      <c r="N940" s="17">
        <f t="shared" si="14"/>
        <v>44332</v>
      </c>
      <c r="O940" t="str">
        <f>LEFT(Table1[[#This Row],[Department_Region]], FIND("-", Table1[[#This Row],[Department_Region]]) - 1)</f>
        <v>Finance</v>
      </c>
      <c r="P940" t="str">
        <f>RIGHT(Table1[[#This Row],[Department_Region]],LEN(Table1[[#This Row],[Department_Region]]) - FIND("-",Table1[[#This Row],[Department_Region]]))</f>
        <v>Nevada</v>
      </c>
      <c r="Q94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40" s="15"/>
    </row>
    <row r="941" spans="1:18" x14ac:dyDescent="0.2">
      <c r="A941" s="1">
        <v>939</v>
      </c>
      <c r="B941" s="6" t="s">
        <v>1548</v>
      </c>
      <c r="C941" t="s">
        <v>65</v>
      </c>
      <c r="D941" t="s">
        <v>55</v>
      </c>
      <c r="E941">
        <v>25</v>
      </c>
      <c r="F941" t="s">
        <v>222</v>
      </c>
      <c r="G941" t="s">
        <v>33</v>
      </c>
      <c r="H941" s="6" t="s">
        <v>1878</v>
      </c>
      <c r="I941" s="11">
        <v>83634.009999999995</v>
      </c>
      <c r="J941" t="s">
        <v>114</v>
      </c>
      <c r="K941">
        <v>-6343925294</v>
      </c>
      <c r="L941" t="s">
        <v>18</v>
      </c>
      <c r="M941" t="b">
        <v>1</v>
      </c>
      <c r="N941" s="17">
        <f t="shared" si="14"/>
        <v>45021</v>
      </c>
      <c r="O941" t="str">
        <f>LEFT(Table1[[#This Row],[Department_Region]], FIND("-", Table1[[#This Row],[Department_Region]]) - 1)</f>
        <v>Sales</v>
      </c>
      <c r="P941" t="str">
        <f>RIGHT(Table1[[#This Row],[Department_Region]],LEN(Table1[[#This Row],[Department_Region]]) - FIND("-",Table1[[#This Row],[Department_Region]]))</f>
        <v>Nevada</v>
      </c>
      <c r="Q94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41" s="15"/>
    </row>
    <row r="942" spans="1:18" x14ac:dyDescent="0.2">
      <c r="A942" s="1">
        <v>940</v>
      </c>
      <c r="B942" s="6" t="s">
        <v>1549</v>
      </c>
      <c r="C942" t="s">
        <v>32</v>
      </c>
      <c r="D942" t="s">
        <v>20</v>
      </c>
      <c r="E942">
        <v>40</v>
      </c>
      <c r="F942" t="s">
        <v>241</v>
      </c>
      <c r="G942" t="s">
        <v>33</v>
      </c>
      <c r="H942" s="6" t="s">
        <v>1550</v>
      </c>
      <c r="I942" s="11">
        <v>85165.05</v>
      </c>
      <c r="J942" t="s">
        <v>157</v>
      </c>
      <c r="K942">
        <v>-9611110285</v>
      </c>
      <c r="L942" t="s">
        <v>30</v>
      </c>
      <c r="M942" t="b">
        <v>1</v>
      </c>
      <c r="N942" s="17">
        <f t="shared" si="14"/>
        <v>44880</v>
      </c>
      <c r="O942" t="str">
        <f>LEFT(Table1[[#This Row],[Department_Region]], FIND("-", Table1[[#This Row],[Department_Region]]) - 1)</f>
        <v>DevOps</v>
      </c>
      <c r="P942" t="str">
        <f>RIGHT(Table1[[#This Row],[Department_Region]],LEN(Table1[[#This Row],[Department_Region]]) - FIND("-",Table1[[#This Row],[Department_Region]]))</f>
        <v>Texas</v>
      </c>
      <c r="Q94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42" s="15"/>
    </row>
    <row r="943" spans="1:18" x14ac:dyDescent="0.2">
      <c r="A943" s="1">
        <v>941</v>
      </c>
      <c r="B943" s="6" t="s">
        <v>1551</v>
      </c>
      <c r="C943" t="s">
        <v>32</v>
      </c>
      <c r="D943" t="s">
        <v>26</v>
      </c>
      <c r="E943">
        <v>30</v>
      </c>
      <c r="F943" t="s">
        <v>44</v>
      </c>
      <c r="G943" t="s">
        <v>16</v>
      </c>
      <c r="H943" s="6" t="s">
        <v>920</v>
      </c>
      <c r="I943" s="11">
        <v>82273.08</v>
      </c>
      <c r="J943" t="s">
        <v>281</v>
      </c>
      <c r="K943">
        <v>-7120072023</v>
      </c>
      <c r="L943" t="s">
        <v>23</v>
      </c>
      <c r="M943" t="b">
        <v>0</v>
      </c>
      <c r="N943" s="17">
        <f t="shared" si="14"/>
        <v>44485</v>
      </c>
      <c r="O943" t="str">
        <f>LEFT(Table1[[#This Row],[Department_Region]], FIND("-", Table1[[#This Row],[Department_Region]]) - 1)</f>
        <v>Sales</v>
      </c>
      <c r="P943" t="str">
        <f>RIGHT(Table1[[#This Row],[Department_Region]],LEN(Table1[[#This Row],[Department_Region]]) - FIND("-",Table1[[#This Row],[Department_Region]]))</f>
        <v>Texas</v>
      </c>
      <c r="Q94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43" s="15"/>
    </row>
    <row r="944" spans="1:18" x14ac:dyDescent="0.2">
      <c r="A944" s="1">
        <v>942</v>
      </c>
      <c r="B944" s="6" t="s">
        <v>1552</v>
      </c>
      <c r="C944" t="s">
        <v>37</v>
      </c>
      <c r="D944" t="s">
        <v>43</v>
      </c>
      <c r="E944">
        <v>30</v>
      </c>
      <c r="F944" t="s">
        <v>272</v>
      </c>
      <c r="G944" t="s">
        <v>33</v>
      </c>
      <c r="H944" s="6" t="s">
        <v>1865</v>
      </c>
      <c r="I944" s="11">
        <v>94537.3</v>
      </c>
      <c r="J944" t="s">
        <v>183</v>
      </c>
      <c r="K944">
        <v>-5591024509</v>
      </c>
      <c r="L944" t="s">
        <v>30</v>
      </c>
      <c r="M944" t="b">
        <v>1</v>
      </c>
      <c r="N944" s="17">
        <f t="shared" si="14"/>
        <v>44690</v>
      </c>
      <c r="O944" t="str">
        <f>LEFT(Table1[[#This Row],[Department_Region]], FIND("-", Table1[[#This Row],[Department_Region]]) - 1)</f>
        <v>Cloud Tech</v>
      </c>
      <c r="P944" t="str">
        <f>RIGHT(Table1[[#This Row],[Department_Region]],LEN(Table1[[#This Row],[Department_Region]]) - FIND("-",Table1[[#This Row],[Department_Region]]))</f>
        <v>California</v>
      </c>
      <c r="Q94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44" s="15"/>
    </row>
    <row r="945" spans="1:18" x14ac:dyDescent="0.2">
      <c r="A945" s="1">
        <v>943</v>
      </c>
      <c r="B945" s="6" t="s">
        <v>1553</v>
      </c>
      <c r="C945" t="s">
        <v>25</v>
      </c>
      <c r="D945" t="s">
        <v>26</v>
      </c>
      <c r="E945">
        <v>35</v>
      </c>
      <c r="F945" t="s">
        <v>195</v>
      </c>
      <c r="G945" t="s">
        <v>28</v>
      </c>
      <c r="H945" s="6" t="s">
        <v>1791</v>
      </c>
      <c r="I945" s="11">
        <v>85970.65</v>
      </c>
      <c r="J945" t="s">
        <v>29</v>
      </c>
      <c r="K945">
        <v>-9109032670</v>
      </c>
      <c r="L945" t="s">
        <v>30</v>
      </c>
      <c r="M945" t="b">
        <v>1</v>
      </c>
      <c r="N945" s="17">
        <f t="shared" si="14"/>
        <v>43988</v>
      </c>
      <c r="O945" t="str">
        <f>LEFT(Table1[[#This Row],[Department_Region]], FIND("-", Table1[[#This Row],[Department_Region]]) - 1)</f>
        <v>HR</v>
      </c>
      <c r="P945" t="str">
        <f>RIGHT(Table1[[#This Row],[Department_Region]],LEN(Table1[[#This Row],[Department_Region]]) - FIND("-",Table1[[#This Row],[Department_Region]]))</f>
        <v>Illinois</v>
      </c>
      <c r="Q94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45" s="15"/>
    </row>
    <row r="946" spans="1:18" x14ac:dyDescent="0.2">
      <c r="A946" s="1">
        <v>944</v>
      </c>
      <c r="B946" s="6" t="s">
        <v>1554</v>
      </c>
      <c r="C946" t="s">
        <v>54</v>
      </c>
      <c r="D946" t="s">
        <v>26</v>
      </c>
      <c r="E946">
        <v>25</v>
      </c>
      <c r="F946" t="s">
        <v>110</v>
      </c>
      <c r="G946" t="s">
        <v>28</v>
      </c>
      <c r="H946" s="6" t="s">
        <v>1555</v>
      </c>
      <c r="I946" s="11">
        <v>111071.02</v>
      </c>
      <c r="J946" t="s">
        <v>122</v>
      </c>
      <c r="K946">
        <v>-4949819420</v>
      </c>
      <c r="L946" t="s">
        <v>23</v>
      </c>
      <c r="M946" t="b">
        <v>0</v>
      </c>
      <c r="N946" s="17">
        <f t="shared" si="14"/>
        <v>44491</v>
      </c>
      <c r="O946" t="str">
        <f>LEFT(Table1[[#This Row],[Department_Region]], FIND("-", Table1[[#This Row],[Department_Region]]) - 1)</f>
        <v>Sales</v>
      </c>
      <c r="P946" t="str">
        <f>RIGHT(Table1[[#This Row],[Department_Region]],LEN(Table1[[#This Row],[Department_Region]]) - FIND("-",Table1[[#This Row],[Department_Region]]))</f>
        <v>New York</v>
      </c>
      <c r="Q94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46" s="15"/>
    </row>
    <row r="947" spans="1:18" x14ac:dyDescent="0.2">
      <c r="A947" s="1">
        <v>945</v>
      </c>
      <c r="B947" s="6" t="s">
        <v>1556</v>
      </c>
      <c r="C947" t="s">
        <v>32</v>
      </c>
      <c r="D947" t="s">
        <v>14</v>
      </c>
      <c r="E947">
        <v>35</v>
      </c>
      <c r="F947" t="s">
        <v>333</v>
      </c>
      <c r="G947" t="s">
        <v>28</v>
      </c>
      <c r="H947" s="6" t="s">
        <v>1765</v>
      </c>
      <c r="I947" s="11">
        <v>56708.34</v>
      </c>
      <c r="J947" t="s">
        <v>35</v>
      </c>
      <c r="K947">
        <v>-7942817933</v>
      </c>
      <c r="L947" t="s">
        <v>23</v>
      </c>
      <c r="M947" t="b">
        <v>0</v>
      </c>
      <c r="N947" s="17">
        <f t="shared" si="14"/>
        <v>44573</v>
      </c>
      <c r="O947" t="str">
        <f>LEFT(Table1[[#This Row],[Department_Region]], FIND("-", Table1[[#This Row],[Department_Region]]) - 1)</f>
        <v>DevOps</v>
      </c>
      <c r="P947" t="str">
        <f>RIGHT(Table1[[#This Row],[Department_Region]],LEN(Table1[[#This Row],[Department_Region]]) - FIND("-",Table1[[#This Row],[Department_Region]]))</f>
        <v>Nevada</v>
      </c>
      <c r="Q94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47" s="15"/>
    </row>
    <row r="948" spans="1:18" x14ac:dyDescent="0.2">
      <c r="A948" s="1">
        <v>946</v>
      </c>
      <c r="B948" s="6" t="s">
        <v>1557</v>
      </c>
      <c r="C948" t="s">
        <v>54</v>
      </c>
      <c r="D948" t="s">
        <v>26</v>
      </c>
      <c r="E948">
        <v>25</v>
      </c>
      <c r="F948" t="s">
        <v>90</v>
      </c>
      <c r="G948" t="s">
        <v>33</v>
      </c>
      <c r="H948" s="6" t="s">
        <v>1816</v>
      </c>
      <c r="I948" s="11">
        <v>104516.55</v>
      </c>
      <c r="J948" t="s">
        <v>122</v>
      </c>
      <c r="K948">
        <v>-652775843</v>
      </c>
      <c r="L948" t="s">
        <v>23</v>
      </c>
      <c r="M948" t="b">
        <v>0</v>
      </c>
      <c r="N948" s="17">
        <f t="shared" si="14"/>
        <v>44594</v>
      </c>
      <c r="O948" t="str">
        <f>LEFT(Table1[[#This Row],[Department_Region]], FIND("-", Table1[[#This Row],[Department_Region]]) - 1)</f>
        <v>Admin</v>
      </c>
      <c r="P948" t="str">
        <f>RIGHT(Table1[[#This Row],[Department_Region]],LEN(Table1[[#This Row],[Department_Region]]) - FIND("-",Table1[[#This Row],[Department_Region]]))</f>
        <v>Illinois</v>
      </c>
      <c r="Q94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48" s="15"/>
    </row>
    <row r="949" spans="1:18" x14ac:dyDescent="0.2">
      <c r="A949" s="1">
        <v>947</v>
      </c>
      <c r="B949" s="6" t="s">
        <v>1558</v>
      </c>
      <c r="C949" t="s">
        <v>54</v>
      </c>
      <c r="D949" t="s">
        <v>43</v>
      </c>
      <c r="E949">
        <v>25</v>
      </c>
      <c r="F949" t="s">
        <v>199</v>
      </c>
      <c r="G949" t="s">
        <v>28</v>
      </c>
      <c r="H949" s="6" t="s">
        <v>855</v>
      </c>
      <c r="I949" s="11">
        <v>108210.15</v>
      </c>
      <c r="J949" t="s">
        <v>88</v>
      </c>
      <c r="K949">
        <v>-6634533721</v>
      </c>
      <c r="L949" t="s">
        <v>41</v>
      </c>
      <c r="M949" t="b">
        <v>1</v>
      </c>
      <c r="N949" s="17">
        <f t="shared" si="14"/>
        <v>44283</v>
      </c>
      <c r="O949" t="str">
        <f>LEFT(Table1[[#This Row],[Department_Region]], FIND("-", Table1[[#This Row],[Department_Region]]) - 1)</f>
        <v>Admin</v>
      </c>
      <c r="P949" t="str">
        <f>RIGHT(Table1[[#This Row],[Department_Region]],LEN(Table1[[#This Row],[Department_Region]]) - FIND("-",Table1[[#This Row],[Department_Region]]))</f>
        <v>New York</v>
      </c>
      <c r="Q94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49" s="15"/>
    </row>
    <row r="950" spans="1:18" x14ac:dyDescent="0.2">
      <c r="A950" s="1">
        <v>948</v>
      </c>
      <c r="B950" s="6" t="s">
        <v>1559</v>
      </c>
      <c r="C950" t="s">
        <v>13</v>
      </c>
      <c r="D950" t="s">
        <v>93</v>
      </c>
      <c r="E950">
        <v>40</v>
      </c>
      <c r="F950" t="s">
        <v>21</v>
      </c>
      <c r="G950" t="s">
        <v>16</v>
      </c>
      <c r="H950" s="6" t="s">
        <v>1926</v>
      </c>
      <c r="I950" s="11">
        <v>85165.05</v>
      </c>
      <c r="J950" t="s">
        <v>94</v>
      </c>
      <c r="K950">
        <v>-109121721</v>
      </c>
      <c r="L950" t="s">
        <v>23</v>
      </c>
      <c r="M950" t="b">
        <v>1</v>
      </c>
      <c r="N950" s="17">
        <f t="shared" si="14"/>
        <v>45507</v>
      </c>
      <c r="O950" t="str">
        <f>LEFT(Table1[[#This Row],[Department_Region]], FIND("-", Table1[[#This Row],[Department_Region]]) - 1)</f>
        <v>Finance</v>
      </c>
      <c r="P950" t="str">
        <f>RIGHT(Table1[[#This Row],[Department_Region]],LEN(Table1[[#This Row],[Department_Region]]) - FIND("-",Table1[[#This Row],[Department_Region]]))</f>
        <v>Texas</v>
      </c>
      <c r="Q95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50" s="15"/>
    </row>
    <row r="951" spans="1:18" x14ac:dyDescent="0.2">
      <c r="A951" s="1">
        <v>949</v>
      </c>
      <c r="B951" s="6" t="s">
        <v>1560</v>
      </c>
      <c r="C951" t="s">
        <v>37</v>
      </c>
      <c r="D951" t="s">
        <v>26</v>
      </c>
      <c r="E951">
        <v>35</v>
      </c>
      <c r="F951" t="s">
        <v>15</v>
      </c>
      <c r="G951" t="s">
        <v>16</v>
      </c>
      <c r="H951" s="6" t="s">
        <v>981</v>
      </c>
      <c r="I951" s="11">
        <v>80935.649999999994</v>
      </c>
      <c r="J951" t="s">
        <v>47</v>
      </c>
      <c r="K951">
        <v>-1455937660</v>
      </c>
      <c r="L951" t="s">
        <v>23</v>
      </c>
      <c r="M951" t="b">
        <v>0</v>
      </c>
      <c r="N951" s="17">
        <f t="shared" si="14"/>
        <v>45504</v>
      </c>
      <c r="O951" t="str">
        <f>LEFT(Table1[[#This Row],[Department_Region]], FIND("-", Table1[[#This Row],[Department_Region]]) - 1)</f>
        <v>DevOps</v>
      </c>
      <c r="P951" t="str">
        <f>RIGHT(Table1[[#This Row],[Department_Region]],LEN(Table1[[#This Row],[Department_Region]]) - FIND("-",Table1[[#This Row],[Department_Region]]))</f>
        <v>California</v>
      </c>
      <c r="Q95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51" s="15"/>
    </row>
    <row r="952" spans="1:18" x14ac:dyDescent="0.2">
      <c r="A952" s="1">
        <v>950</v>
      </c>
      <c r="B952" s="6" t="s">
        <v>1561</v>
      </c>
      <c r="C952" t="s">
        <v>37</v>
      </c>
      <c r="D952" t="s">
        <v>38</v>
      </c>
      <c r="E952">
        <v>30</v>
      </c>
      <c r="F952" t="s">
        <v>15</v>
      </c>
      <c r="G952" t="s">
        <v>16</v>
      </c>
      <c r="H952" s="6" t="s">
        <v>1840</v>
      </c>
      <c r="I952" s="11">
        <v>107020.19</v>
      </c>
      <c r="J952" t="s">
        <v>40</v>
      </c>
      <c r="K952">
        <v>-8943705262</v>
      </c>
      <c r="L952" t="s">
        <v>23</v>
      </c>
      <c r="M952" t="b">
        <v>0</v>
      </c>
      <c r="N952" s="17">
        <f t="shared" si="14"/>
        <v>45355</v>
      </c>
      <c r="O952" t="str">
        <f>LEFT(Table1[[#This Row],[Department_Region]], FIND("-", Table1[[#This Row],[Department_Region]]) - 1)</f>
        <v>DevOps</v>
      </c>
      <c r="P952" t="str">
        <f>RIGHT(Table1[[#This Row],[Department_Region]],LEN(Table1[[#This Row],[Department_Region]]) - FIND("-",Table1[[#This Row],[Department_Region]]))</f>
        <v>California</v>
      </c>
      <c r="Q95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52" s="15"/>
    </row>
    <row r="953" spans="1:18" x14ac:dyDescent="0.2">
      <c r="A953" s="1">
        <v>951</v>
      </c>
      <c r="B953" s="6" t="s">
        <v>1562</v>
      </c>
      <c r="C953" t="s">
        <v>54</v>
      </c>
      <c r="D953" t="s">
        <v>20</v>
      </c>
      <c r="E953">
        <v>30</v>
      </c>
      <c r="F953" t="s">
        <v>66</v>
      </c>
      <c r="G953" t="s">
        <v>16</v>
      </c>
      <c r="H953" s="6" t="s">
        <v>385</v>
      </c>
      <c r="I953" s="11">
        <v>118677.67</v>
      </c>
      <c r="J953" t="s">
        <v>127</v>
      </c>
      <c r="K953">
        <v>-5100462775</v>
      </c>
      <c r="L953" t="s">
        <v>23</v>
      </c>
      <c r="M953" t="b">
        <v>0</v>
      </c>
      <c r="N953" s="17">
        <f t="shared" si="14"/>
        <v>44097</v>
      </c>
      <c r="O953" t="str">
        <f>LEFT(Table1[[#This Row],[Department_Region]], FIND("-", Table1[[#This Row],[Department_Region]]) - 1)</f>
        <v>HR</v>
      </c>
      <c r="P953" t="str">
        <f>RIGHT(Table1[[#This Row],[Department_Region]],LEN(Table1[[#This Row],[Department_Region]]) - FIND("-",Table1[[#This Row],[Department_Region]]))</f>
        <v>New York</v>
      </c>
      <c r="Q95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53" s="15"/>
    </row>
    <row r="954" spans="1:18" x14ac:dyDescent="0.2">
      <c r="A954" s="1">
        <v>952</v>
      </c>
      <c r="B954" s="6" t="s">
        <v>1563</v>
      </c>
      <c r="C954" t="s">
        <v>13</v>
      </c>
      <c r="D954" t="s">
        <v>26</v>
      </c>
      <c r="E954">
        <v>25</v>
      </c>
      <c r="F954" t="s">
        <v>39</v>
      </c>
      <c r="G954" t="s">
        <v>33</v>
      </c>
      <c r="H954" s="6" t="s">
        <v>822</v>
      </c>
      <c r="I954" s="11">
        <v>63744.57</v>
      </c>
      <c r="J954" t="s">
        <v>50</v>
      </c>
      <c r="K954">
        <v>-5725659201</v>
      </c>
      <c r="L954" t="s">
        <v>18</v>
      </c>
      <c r="M954" t="b">
        <v>0</v>
      </c>
      <c r="N954" s="17">
        <f t="shared" si="14"/>
        <v>43918</v>
      </c>
      <c r="O954" t="str">
        <f>LEFT(Table1[[#This Row],[Department_Region]], FIND("-", Table1[[#This Row],[Department_Region]]) - 1)</f>
        <v>Cloud Tech</v>
      </c>
      <c r="P954" t="str">
        <f>RIGHT(Table1[[#This Row],[Department_Region]],LEN(Table1[[#This Row],[Department_Region]]) - FIND("-",Table1[[#This Row],[Department_Region]]))</f>
        <v>Florida</v>
      </c>
      <c r="Q95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54" s="15"/>
    </row>
    <row r="955" spans="1:18" x14ac:dyDescent="0.2">
      <c r="A955" s="1">
        <v>953</v>
      </c>
      <c r="B955" s="6" t="s">
        <v>1564</v>
      </c>
      <c r="C955" t="s">
        <v>25</v>
      </c>
      <c r="D955" t="s">
        <v>20</v>
      </c>
      <c r="E955">
        <v>40</v>
      </c>
      <c r="F955" t="s">
        <v>272</v>
      </c>
      <c r="G955" t="s">
        <v>16</v>
      </c>
      <c r="H955" s="6" t="s">
        <v>1565</v>
      </c>
      <c r="I955" s="11">
        <v>85165.05</v>
      </c>
      <c r="J955" t="s">
        <v>81</v>
      </c>
      <c r="K955">
        <v>-4617520237</v>
      </c>
      <c r="L955" t="s">
        <v>41</v>
      </c>
      <c r="M955" t="b">
        <v>0</v>
      </c>
      <c r="N955" s="17">
        <f t="shared" si="14"/>
        <v>43966</v>
      </c>
      <c r="O955" t="str">
        <f>LEFT(Table1[[#This Row],[Department_Region]], FIND("-", Table1[[#This Row],[Department_Region]]) - 1)</f>
        <v>Cloud Tech</v>
      </c>
      <c r="P955" t="str">
        <f>RIGHT(Table1[[#This Row],[Department_Region]],LEN(Table1[[#This Row],[Department_Region]]) - FIND("-",Table1[[#This Row],[Department_Region]]))</f>
        <v>California</v>
      </c>
      <c r="Q95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55" s="15"/>
    </row>
    <row r="956" spans="1:18" x14ac:dyDescent="0.2">
      <c r="A956" s="1">
        <v>954</v>
      </c>
      <c r="B956" s="6" t="s">
        <v>1566</v>
      </c>
      <c r="C956" t="s">
        <v>13</v>
      </c>
      <c r="D956" t="s">
        <v>38</v>
      </c>
      <c r="E956">
        <v>25</v>
      </c>
      <c r="F956" t="s">
        <v>110</v>
      </c>
      <c r="G956" t="s">
        <v>28</v>
      </c>
      <c r="H956" s="6" t="s">
        <v>1567</v>
      </c>
      <c r="I956" s="11">
        <v>62934.73</v>
      </c>
      <c r="J956" t="s">
        <v>146</v>
      </c>
      <c r="K956">
        <v>-9743260054</v>
      </c>
      <c r="L956" t="s">
        <v>30</v>
      </c>
      <c r="M956" t="b">
        <v>0</v>
      </c>
      <c r="N956" s="17">
        <f t="shared" si="14"/>
        <v>44240</v>
      </c>
      <c r="O956" t="str">
        <f>LEFT(Table1[[#This Row],[Department_Region]], FIND("-", Table1[[#This Row],[Department_Region]]) - 1)</f>
        <v>Sales</v>
      </c>
      <c r="P956" t="str">
        <f>RIGHT(Table1[[#This Row],[Department_Region]],LEN(Table1[[#This Row],[Department_Region]]) - FIND("-",Table1[[#This Row],[Department_Region]]))</f>
        <v>New York</v>
      </c>
      <c r="Q95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56" s="15"/>
    </row>
    <row r="957" spans="1:18" x14ac:dyDescent="0.2">
      <c r="A957" s="1">
        <v>955</v>
      </c>
      <c r="B957" s="6" t="s">
        <v>1568</v>
      </c>
      <c r="C957" t="s">
        <v>13</v>
      </c>
      <c r="D957" t="s">
        <v>38</v>
      </c>
      <c r="E957">
        <v>30</v>
      </c>
      <c r="F957" t="s">
        <v>15</v>
      </c>
      <c r="G957" t="s">
        <v>28</v>
      </c>
      <c r="H957" s="6" t="s">
        <v>1469</v>
      </c>
      <c r="I957" s="11">
        <v>74654.23</v>
      </c>
      <c r="J957" t="s">
        <v>146</v>
      </c>
      <c r="K957">
        <v>-9550178331</v>
      </c>
      <c r="L957" t="s">
        <v>23</v>
      </c>
      <c r="M957" t="b">
        <v>1</v>
      </c>
      <c r="N957" s="17">
        <f t="shared" si="14"/>
        <v>44543</v>
      </c>
      <c r="O957" t="str">
        <f>LEFT(Table1[[#This Row],[Department_Region]], FIND("-", Table1[[#This Row],[Department_Region]]) - 1)</f>
        <v>DevOps</v>
      </c>
      <c r="P957" t="str">
        <f>RIGHT(Table1[[#This Row],[Department_Region]],LEN(Table1[[#This Row],[Department_Region]]) - FIND("-",Table1[[#This Row],[Department_Region]]))</f>
        <v>California</v>
      </c>
      <c r="Q95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57" s="15"/>
    </row>
    <row r="958" spans="1:18" x14ac:dyDescent="0.2">
      <c r="A958" s="1">
        <v>956</v>
      </c>
      <c r="B958" s="6" t="s">
        <v>1569</v>
      </c>
      <c r="C958" t="s">
        <v>59</v>
      </c>
      <c r="D958" t="s">
        <v>20</v>
      </c>
      <c r="E958">
        <v>32</v>
      </c>
      <c r="F958" t="s">
        <v>44</v>
      </c>
      <c r="G958" t="s">
        <v>16</v>
      </c>
      <c r="H958" s="6" t="s">
        <v>1927</v>
      </c>
      <c r="I958" s="11">
        <v>85165.05</v>
      </c>
      <c r="J958" t="s">
        <v>228</v>
      </c>
      <c r="K958">
        <v>-5848689992</v>
      </c>
      <c r="L958" t="s">
        <v>18</v>
      </c>
      <c r="M958" t="b">
        <v>1</v>
      </c>
      <c r="N958" s="17">
        <f t="shared" si="14"/>
        <v>45509</v>
      </c>
      <c r="O958" t="str">
        <f>LEFT(Table1[[#This Row],[Department_Region]], FIND("-", Table1[[#This Row],[Department_Region]]) - 1)</f>
        <v>Sales</v>
      </c>
      <c r="P958" t="str">
        <f>RIGHT(Table1[[#This Row],[Department_Region]],LEN(Table1[[#This Row],[Department_Region]]) - FIND("-",Table1[[#This Row],[Department_Region]]))</f>
        <v>Texas</v>
      </c>
      <c r="Q95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58" s="15"/>
    </row>
    <row r="959" spans="1:18" x14ac:dyDescent="0.2">
      <c r="A959" s="1">
        <v>957</v>
      </c>
      <c r="B959" s="6" t="s">
        <v>1570</v>
      </c>
      <c r="C959" t="s">
        <v>59</v>
      </c>
      <c r="D959" t="s">
        <v>124</v>
      </c>
      <c r="E959">
        <v>30</v>
      </c>
      <c r="F959" t="s">
        <v>66</v>
      </c>
      <c r="G959" t="s">
        <v>28</v>
      </c>
      <c r="H959" s="6" t="s">
        <v>1928</v>
      </c>
      <c r="I959" s="11">
        <v>118150.59</v>
      </c>
      <c r="J959" t="s">
        <v>346</v>
      </c>
      <c r="K959">
        <v>-6079848703</v>
      </c>
      <c r="L959" t="s">
        <v>18</v>
      </c>
      <c r="M959" t="b">
        <v>1</v>
      </c>
      <c r="N959" s="17">
        <f t="shared" si="14"/>
        <v>43839</v>
      </c>
      <c r="O959" t="str">
        <f>LEFT(Table1[[#This Row],[Department_Region]], FIND("-", Table1[[#This Row],[Department_Region]]) - 1)</f>
        <v>HR</v>
      </c>
      <c r="P959" t="str">
        <f>RIGHT(Table1[[#This Row],[Department_Region]],LEN(Table1[[#This Row],[Department_Region]]) - FIND("-",Table1[[#This Row],[Department_Region]]))</f>
        <v>New York</v>
      </c>
      <c r="Q95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59" s="15"/>
    </row>
    <row r="960" spans="1:18" x14ac:dyDescent="0.2">
      <c r="A960" s="1">
        <v>958</v>
      </c>
      <c r="B960" s="6" t="s">
        <v>1571</v>
      </c>
      <c r="C960" t="s">
        <v>59</v>
      </c>
      <c r="D960" t="s">
        <v>55</v>
      </c>
      <c r="E960">
        <v>32</v>
      </c>
      <c r="F960" t="s">
        <v>233</v>
      </c>
      <c r="G960" t="s">
        <v>33</v>
      </c>
      <c r="H960" s="6" t="s">
        <v>1572</v>
      </c>
      <c r="I960" s="11">
        <v>91256.639999999999</v>
      </c>
      <c r="J960" t="s">
        <v>220</v>
      </c>
      <c r="K960">
        <v>-5069176798</v>
      </c>
      <c r="L960" t="s">
        <v>18</v>
      </c>
      <c r="M960" t="b">
        <v>0</v>
      </c>
      <c r="N960" s="17">
        <f t="shared" si="14"/>
        <v>45260</v>
      </c>
      <c r="O960" t="str">
        <f>LEFT(Table1[[#This Row],[Department_Region]], FIND("-", Table1[[#This Row],[Department_Region]]) - 1)</f>
        <v>DevOps</v>
      </c>
      <c r="P960" t="str">
        <f>RIGHT(Table1[[#This Row],[Department_Region]],LEN(Table1[[#This Row],[Department_Region]]) - FIND("-",Table1[[#This Row],[Department_Region]]))</f>
        <v>Florida</v>
      </c>
      <c r="Q96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60" s="15"/>
    </row>
    <row r="961" spans="1:18" x14ac:dyDescent="0.2">
      <c r="A961" s="1">
        <v>959</v>
      </c>
      <c r="B961" s="6" t="s">
        <v>1573</v>
      </c>
      <c r="C961" t="s">
        <v>13</v>
      </c>
      <c r="D961" t="s">
        <v>14</v>
      </c>
      <c r="E961">
        <v>30</v>
      </c>
      <c r="F961" t="s">
        <v>215</v>
      </c>
      <c r="G961" t="s">
        <v>33</v>
      </c>
      <c r="H961" s="6" t="s">
        <v>1235</v>
      </c>
      <c r="I961" s="11">
        <v>85997.57</v>
      </c>
      <c r="J961" t="s">
        <v>17</v>
      </c>
      <c r="K961">
        <v>-3593744038</v>
      </c>
      <c r="L961" t="s">
        <v>30</v>
      </c>
      <c r="M961" t="b">
        <v>0</v>
      </c>
      <c r="N961" s="17">
        <f t="shared" si="14"/>
        <v>44269</v>
      </c>
      <c r="O961" t="str">
        <f>LEFT(Table1[[#This Row],[Department_Region]], FIND("-", Table1[[#This Row],[Department_Region]]) - 1)</f>
        <v>HR</v>
      </c>
      <c r="P961" t="str">
        <f>RIGHT(Table1[[#This Row],[Department_Region]],LEN(Table1[[#This Row],[Department_Region]]) - FIND("-",Table1[[#This Row],[Department_Region]]))</f>
        <v>Florida</v>
      </c>
      <c r="Q96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61" s="15"/>
    </row>
    <row r="962" spans="1:18" x14ac:dyDescent="0.2">
      <c r="A962" s="1">
        <v>960</v>
      </c>
      <c r="B962" s="6" t="s">
        <v>1574</v>
      </c>
      <c r="C962" t="s">
        <v>37</v>
      </c>
      <c r="D962" t="s">
        <v>124</v>
      </c>
      <c r="E962">
        <v>25</v>
      </c>
      <c r="F962" t="s">
        <v>21</v>
      </c>
      <c r="G962" t="s">
        <v>28</v>
      </c>
      <c r="H962" s="6" t="s">
        <v>1929</v>
      </c>
      <c r="I962" s="11">
        <v>84707.12</v>
      </c>
      <c r="J962" t="s">
        <v>139</v>
      </c>
      <c r="K962">
        <v>-4640830372</v>
      </c>
      <c r="L962" t="s">
        <v>23</v>
      </c>
      <c r="M962" t="b">
        <v>0</v>
      </c>
      <c r="N962" s="17">
        <f t="shared" ref="N962:N1021" si="15">IF(ISNUMBER(H962), H962, DATE(RIGHT(H962, 4), LEFT(H962, FIND("/", H962) - 1), MID(H962, FIND("/", H962) + 1, FIND("/", H962, FIND("/", H962) + 1) - FIND("/", H962) - 1)))</f>
        <v>44109</v>
      </c>
      <c r="O962" t="str">
        <f>LEFT(Table1[[#This Row],[Department_Region]], FIND("-", Table1[[#This Row],[Department_Region]]) - 1)</f>
        <v>Finance</v>
      </c>
      <c r="P962" t="str">
        <f>RIGHT(Table1[[#This Row],[Department_Region]],LEN(Table1[[#This Row],[Department_Region]]) - FIND("-",Table1[[#This Row],[Department_Region]]))</f>
        <v>Texas</v>
      </c>
      <c r="Q96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62" s="15"/>
    </row>
    <row r="963" spans="1:18" x14ac:dyDescent="0.2">
      <c r="A963" s="1">
        <v>961</v>
      </c>
      <c r="B963" s="6" t="s">
        <v>1575</v>
      </c>
      <c r="C963" t="s">
        <v>32</v>
      </c>
      <c r="D963" t="s">
        <v>124</v>
      </c>
      <c r="E963">
        <v>32</v>
      </c>
      <c r="F963" t="s">
        <v>241</v>
      </c>
      <c r="G963" t="s">
        <v>16</v>
      </c>
      <c r="H963" s="6" t="s">
        <v>1768</v>
      </c>
      <c r="I963" s="11">
        <v>84559.9</v>
      </c>
      <c r="J963" t="s">
        <v>529</v>
      </c>
      <c r="K963">
        <v>-6060148859</v>
      </c>
      <c r="L963" t="s">
        <v>41</v>
      </c>
      <c r="M963" t="b">
        <v>0</v>
      </c>
      <c r="N963" s="17">
        <f t="shared" si="15"/>
        <v>44502</v>
      </c>
      <c r="O963" t="str">
        <f>LEFT(Table1[[#This Row],[Department_Region]], FIND("-", Table1[[#This Row],[Department_Region]]) - 1)</f>
        <v>DevOps</v>
      </c>
      <c r="P963" t="str">
        <f>RIGHT(Table1[[#This Row],[Department_Region]],LEN(Table1[[#This Row],[Department_Region]]) - FIND("-",Table1[[#This Row],[Department_Region]]))</f>
        <v>Texas</v>
      </c>
      <c r="Q96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63" s="15"/>
    </row>
    <row r="964" spans="1:18" x14ac:dyDescent="0.2">
      <c r="A964" s="1">
        <v>962</v>
      </c>
      <c r="B964" s="6" t="s">
        <v>1576</v>
      </c>
      <c r="C964" t="s">
        <v>65</v>
      </c>
      <c r="D964" t="s">
        <v>93</v>
      </c>
      <c r="E964">
        <v>32</v>
      </c>
      <c r="F964" t="s">
        <v>15</v>
      </c>
      <c r="G964" t="s">
        <v>28</v>
      </c>
      <c r="H964" s="6" t="s">
        <v>1446</v>
      </c>
      <c r="I964" s="11">
        <v>81076.91</v>
      </c>
      <c r="J964" t="s">
        <v>132</v>
      </c>
      <c r="K964">
        <v>-8490793883</v>
      </c>
      <c r="L964" t="s">
        <v>41</v>
      </c>
      <c r="M964" t="b">
        <v>0</v>
      </c>
      <c r="N964" s="17">
        <f t="shared" si="15"/>
        <v>45553</v>
      </c>
      <c r="O964" t="str">
        <f>LEFT(Table1[[#This Row],[Department_Region]], FIND("-", Table1[[#This Row],[Department_Region]]) - 1)</f>
        <v>DevOps</v>
      </c>
      <c r="P964" t="str">
        <f>RIGHT(Table1[[#This Row],[Department_Region]],LEN(Table1[[#This Row],[Department_Region]]) - FIND("-",Table1[[#This Row],[Department_Region]]))</f>
        <v>California</v>
      </c>
      <c r="Q96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64" s="15"/>
    </row>
    <row r="965" spans="1:18" x14ac:dyDescent="0.2">
      <c r="A965" s="1">
        <v>963</v>
      </c>
      <c r="B965" s="6" t="s">
        <v>1577</v>
      </c>
      <c r="C965" t="s">
        <v>32</v>
      </c>
      <c r="D965" t="s">
        <v>14</v>
      </c>
      <c r="E965">
        <v>40</v>
      </c>
      <c r="F965" t="s">
        <v>104</v>
      </c>
      <c r="G965" t="s">
        <v>33</v>
      </c>
      <c r="H965" s="6" t="s">
        <v>1578</v>
      </c>
      <c r="I965" s="11">
        <v>85165.05</v>
      </c>
      <c r="J965" t="s">
        <v>35</v>
      </c>
      <c r="K965">
        <v>-1368528305</v>
      </c>
      <c r="L965" t="s">
        <v>18</v>
      </c>
      <c r="M965" t="b">
        <v>0</v>
      </c>
      <c r="N965" s="17">
        <f t="shared" si="15"/>
        <v>45221</v>
      </c>
      <c r="O965" t="str">
        <f>LEFT(Table1[[#This Row],[Department_Region]], FIND("-", Table1[[#This Row],[Department_Region]]) - 1)</f>
        <v>Admin</v>
      </c>
      <c r="P965" t="str">
        <f>RIGHT(Table1[[#This Row],[Department_Region]],LEN(Table1[[#This Row],[Department_Region]]) - FIND("-",Table1[[#This Row],[Department_Region]]))</f>
        <v>Texas</v>
      </c>
      <c r="Q96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65" s="15"/>
    </row>
    <row r="966" spans="1:18" x14ac:dyDescent="0.2">
      <c r="A966" s="1">
        <v>964</v>
      </c>
      <c r="B966" s="6" t="s">
        <v>1579</v>
      </c>
      <c r="C966" t="s">
        <v>65</v>
      </c>
      <c r="D966" t="s">
        <v>14</v>
      </c>
      <c r="E966">
        <v>25</v>
      </c>
      <c r="F966" t="s">
        <v>113</v>
      </c>
      <c r="G966" t="s">
        <v>28</v>
      </c>
      <c r="H966" s="6" t="s">
        <v>1930</v>
      </c>
      <c r="I966" s="11">
        <v>97356.31</v>
      </c>
      <c r="J966" t="s">
        <v>400</v>
      </c>
      <c r="K966">
        <v>-1537012423</v>
      </c>
      <c r="L966" t="s">
        <v>30</v>
      </c>
      <c r="M966" t="b">
        <v>1</v>
      </c>
      <c r="N966" s="17">
        <f t="shared" si="15"/>
        <v>45179</v>
      </c>
      <c r="O966" t="str">
        <f>LEFT(Table1[[#This Row],[Department_Region]], FIND("-", Table1[[#This Row],[Department_Region]]) - 1)</f>
        <v>Finance</v>
      </c>
      <c r="P966" t="str">
        <f>RIGHT(Table1[[#This Row],[Department_Region]],LEN(Table1[[#This Row],[Department_Region]]) - FIND("-",Table1[[#This Row],[Department_Region]]))</f>
        <v>Florida</v>
      </c>
      <c r="Q96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66" s="15"/>
    </row>
    <row r="967" spans="1:18" x14ac:dyDescent="0.2">
      <c r="A967" s="1">
        <v>965</v>
      </c>
      <c r="B967" s="6" t="s">
        <v>1580</v>
      </c>
      <c r="C967" t="s">
        <v>69</v>
      </c>
      <c r="D967" t="s">
        <v>124</v>
      </c>
      <c r="E967">
        <v>40</v>
      </c>
      <c r="F967" t="s">
        <v>79</v>
      </c>
      <c r="G967" t="s">
        <v>16</v>
      </c>
      <c r="H967" s="6" t="s">
        <v>643</v>
      </c>
      <c r="I967" s="11">
        <v>114770.32</v>
      </c>
      <c r="J967" t="s">
        <v>137</v>
      </c>
      <c r="K967">
        <v>-4626325143</v>
      </c>
      <c r="L967" t="s">
        <v>30</v>
      </c>
      <c r="M967" t="b">
        <v>1</v>
      </c>
      <c r="N967" s="17">
        <f t="shared" si="15"/>
        <v>45349</v>
      </c>
      <c r="O967" t="str">
        <f>LEFT(Table1[[#This Row],[Department_Region]], FIND("-", Table1[[#This Row],[Department_Region]]) - 1)</f>
        <v>DevOps</v>
      </c>
      <c r="P967" t="str">
        <f>RIGHT(Table1[[#This Row],[Department_Region]],LEN(Table1[[#This Row],[Department_Region]]) - FIND("-",Table1[[#This Row],[Department_Region]]))</f>
        <v>Illinois</v>
      </c>
      <c r="Q96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67" s="15"/>
    </row>
    <row r="968" spans="1:18" x14ac:dyDescent="0.2">
      <c r="A968" s="1">
        <v>966</v>
      </c>
      <c r="B968" s="6" t="s">
        <v>1581</v>
      </c>
      <c r="C968" t="s">
        <v>13</v>
      </c>
      <c r="D968" t="s">
        <v>26</v>
      </c>
      <c r="E968">
        <v>35</v>
      </c>
      <c r="F968" t="s">
        <v>120</v>
      </c>
      <c r="G968" t="s">
        <v>16</v>
      </c>
      <c r="H968" s="6" t="s">
        <v>1691</v>
      </c>
      <c r="I968" s="11">
        <v>109082.07</v>
      </c>
      <c r="J968" t="s">
        <v>50</v>
      </c>
      <c r="K968">
        <v>-8811210313</v>
      </c>
      <c r="L968" t="s">
        <v>30</v>
      </c>
      <c r="M968" t="b">
        <v>0</v>
      </c>
      <c r="N968" s="17">
        <f t="shared" si="15"/>
        <v>45049</v>
      </c>
      <c r="O968" t="str">
        <f>LEFT(Table1[[#This Row],[Department_Region]], FIND("-", Table1[[#This Row],[Department_Region]]) - 1)</f>
        <v>Admin</v>
      </c>
      <c r="P968" t="str">
        <f>RIGHT(Table1[[#This Row],[Department_Region]],LEN(Table1[[#This Row],[Department_Region]]) - FIND("-",Table1[[#This Row],[Department_Region]]))</f>
        <v>California</v>
      </c>
      <c r="Q96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68" s="15"/>
    </row>
    <row r="969" spans="1:18" x14ac:dyDescent="0.2">
      <c r="A969" s="1">
        <v>967</v>
      </c>
      <c r="B969" s="6" t="s">
        <v>1582</v>
      </c>
      <c r="C969" t="s">
        <v>59</v>
      </c>
      <c r="D969" t="s">
        <v>93</v>
      </c>
      <c r="E969">
        <v>40</v>
      </c>
      <c r="F969" t="s">
        <v>233</v>
      </c>
      <c r="G969" t="s">
        <v>33</v>
      </c>
      <c r="H969" s="6" t="s">
        <v>1583</v>
      </c>
      <c r="I969" s="11">
        <v>99944.57</v>
      </c>
      <c r="J969" t="s">
        <v>108</v>
      </c>
      <c r="K969">
        <v>-2175188780</v>
      </c>
      <c r="L969" t="s">
        <v>41</v>
      </c>
      <c r="M969" t="b">
        <v>1</v>
      </c>
      <c r="N969" s="17">
        <f t="shared" si="15"/>
        <v>45397</v>
      </c>
      <c r="O969" t="str">
        <f>LEFT(Table1[[#This Row],[Department_Region]], FIND("-", Table1[[#This Row],[Department_Region]]) - 1)</f>
        <v>DevOps</v>
      </c>
      <c r="P969" t="str">
        <f>RIGHT(Table1[[#This Row],[Department_Region]],LEN(Table1[[#This Row],[Department_Region]]) - FIND("-",Table1[[#This Row],[Department_Region]]))</f>
        <v>Florida</v>
      </c>
      <c r="Q96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69" s="15"/>
    </row>
    <row r="970" spans="1:18" x14ac:dyDescent="0.2">
      <c r="A970" s="1">
        <v>968</v>
      </c>
      <c r="B970" s="6" t="s">
        <v>1584</v>
      </c>
      <c r="C970" t="s">
        <v>32</v>
      </c>
      <c r="D970" t="s">
        <v>93</v>
      </c>
      <c r="E970">
        <v>40</v>
      </c>
      <c r="F970" t="s">
        <v>215</v>
      </c>
      <c r="G970" t="s">
        <v>28</v>
      </c>
      <c r="H970" s="6" t="s">
        <v>1094</v>
      </c>
      <c r="I970" s="11">
        <v>116509.72</v>
      </c>
      <c r="J970" t="s">
        <v>267</v>
      </c>
      <c r="K970">
        <v>-7941515262</v>
      </c>
      <c r="L970" t="s">
        <v>18</v>
      </c>
      <c r="M970" t="b">
        <v>0</v>
      </c>
      <c r="N970" s="17">
        <f t="shared" si="15"/>
        <v>45066</v>
      </c>
      <c r="O970" t="str">
        <f>LEFT(Table1[[#This Row],[Department_Region]], FIND("-", Table1[[#This Row],[Department_Region]]) - 1)</f>
        <v>HR</v>
      </c>
      <c r="P970" t="str">
        <f>RIGHT(Table1[[#This Row],[Department_Region]],LEN(Table1[[#This Row],[Department_Region]]) - FIND("-",Table1[[#This Row],[Department_Region]]))</f>
        <v>Florida</v>
      </c>
      <c r="Q97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70" s="15"/>
    </row>
    <row r="971" spans="1:18" x14ac:dyDescent="0.2">
      <c r="A971" s="1">
        <v>969</v>
      </c>
      <c r="B971" s="6" t="s">
        <v>1585</v>
      </c>
      <c r="C971" t="s">
        <v>32</v>
      </c>
      <c r="D971" t="s">
        <v>38</v>
      </c>
      <c r="E971">
        <v>30</v>
      </c>
      <c r="F971" t="s">
        <v>21</v>
      </c>
      <c r="G971" t="s">
        <v>16</v>
      </c>
      <c r="H971" s="6" t="s">
        <v>526</v>
      </c>
      <c r="I971" s="11">
        <v>84253.9</v>
      </c>
      <c r="J971" t="s">
        <v>143</v>
      </c>
      <c r="K971">
        <v>-8409112251</v>
      </c>
      <c r="L971" t="s">
        <v>23</v>
      </c>
      <c r="M971" t="b">
        <v>1</v>
      </c>
      <c r="N971" s="17">
        <f t="shared" si="15"/>
        <v>44344</v>
      </c>
      <c r="O971" t="str">
        <f>LEFT(Table1[[#This Row],[Department_Region]], FIND("-", Table1[[#This Row],[Department_Region]]) - 1)</f>
        <v>Finance</v>
      </c>
      <c r="P971" t="str">
        <f>RIGHT(Table1[[#This Row],[Department_Region]],LEN(Table1[[#This Row],[Department_Region]]) - FIND("-",Table1[[#This Row],[Department_Region]]))</f>
        <v>Texas</v>
      </c>
      <c r="Q97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71" s="15"/>
    </row>
    <row r="972" spans="1:18" x14ac:dyDescent="0.2">
      <c r="A972" s="1">
        <v>970</v>
      </c>
      <c r="B972" s="6" t="s">
        <v>1586</v>
      </c>
      <c r="C972" t="s">
        <v>54</v>
      </c>
      <c r="D972" t="s">
        <v>43</v>
      </c>
      <c r="E972">
        <v>25</v>
      </c>
      <c r="F972" t="s">
        <v>86</v>
      </c>
      <c r="G972" t="s">
        <v>16</v>
      </c>
      <c r="H972" s="6" t="s">
        <v>1587</v>
      </c>
      <c r="I972" s="11">
        <v>54776.01</v>
      </c>
      <c r="J972" t="s">
        <v>88</v>
      </c>
      <c r="K972">
        <v>-8837505660</v>
      </c>
      <c r="L972" t="s">
        <v>41</v>
      </c>
      <c r="M972" t="b">
        <v>0</v>
      </c>
      <c r="N972" s="17">
        <f t="shared" si="15"/>
        <v>45531</v>
      </c>
      <c r="O972" t="str">
        <f>LEFT(Table1[[#This Row],[Department_Region]], FIND("-", Table1[[#This Row],[Department_Region]]) - 1)</f>
        <v>Cloud Tech</v>
      </c>
      <c r="P972" t="str">
        <f>RIGHT(Table1[[#This Row],[Department_Region]],LEN(Table1[[#This Row],[Department_Region]]) - FIND("-",Table1[[#This Row],[Department_Region]]))</f>
        <v>Nevada</v>
      </c>
      <c r="Q97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72" s="15"/>
    </row>
    <row r="973" spans="1:18" x14ac:dyDescent="0.2">
      <c r="A973" s="1">
        <v>971</v>
      </c>
      <c r="B973" s="6" t="s">
        <v>1588</v>
      </c>
      <c r="C973" t="s">
        <v>54</v>
      </c>
      <c r="D973" t="s">
        <v>14</v>
      </c>
      <c r="E973">
        <v>40</v>
      </c>
      <c r="F973" t="s">
        <v>222</v>
      </c>
      <c r="G973" t="s">
        <v>33</v>
      </c>
      <c r="H973" s="6" t="s">
        <v>1931</v>
      </c>
      <c r="I973" s="11">
        <v>71192.679999999993</v>
      </c>
      <c r="J973" t="s">
        <v>173</v>
      </c>
      <c r="K973">
        <v>-8632397912</v>
      </c>
      <c r="L973" t="s">
        <v>18</v>
      </c>
      <c r="M973" t="b">
        <v>0</v>
      </c>
      <c r="N973" s="17">
        <f t="shared" si="15"/>
        <v>44143</v>
      </c>
      <c r="O973" t="str">
        <f>LEFT(Table1[[#This Row],[Department_Region]], FIND("-", Table1[[#This Row],[Department_Region]]) - 1)</f>
        <v>Sales</v>
      </c>
      <c r="P973" t="str">
        <f>RIGHT(Table1[[#This Row],[Department_Region]],LEN(Table1[[#This Row],[Department_Region]]) - FIND("-",Table1[[#This Row],[Department_Region]]))</f>
        <v>Nevada</v>
      </c>
      <c r="Q97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73" s="15"/>
    </row>
    <row r="974" spans="1:18" x14ac:dyDescent="0.2">
      <c r="A974" s="1">
        <v>972</v>
      </c>
      <c r="B974" s="6" t="s">
        <v>1589</v>
      </c>
      <c r="C974" t="s">
        <v>13</v>
      </c>
      <c r="D974" t="s">
        <v>124</v>
      </c>
      <c r="E974">
        <v>32</v>
      </c>
      <c r="F974" t="s">
        <v>113</v>
      </c>
      <c r="G974" t="s">
        <v>16</v>
      </c>
      <c r="H974" s="6" t="s">
        <v>1590</v>
      </c>
      <c r="I974" s="11">
        <v>96346.53</v>
      </c>
      <c r="J974" t="s">
        <v>125</v>
      </c>
      <c r="K974">
        <v>-7876553006</v>
      </c>
      <c r="L974" t="s">
        <v>18</v>
      </c>
      <c r="M974" t="b">
        <v>1</v>
      </c>
      <c r="N974" s="17">
        <f t="shared" si="15"/>
        <v>44432</v>
      </c>
      <c r="O974" t="str">
        <f>LEFT(Table1[[#This Row],[Department_Region]], FIND("-", Table1[[#This Row],[Department_Region]]) - 1)</f>
        <v>Finance</v>
      </c>
      <c r="P974" t="str">
        <f>RIGHT(Table1[[#This Row],[Department_Region]],LEN(Table1[[#This Row],[Department_Region]]) - FIND("-",Table1[[#This Row],[Department_Region]]))</f>
        <v>Florida</v>
      </c>
      <c r="Q97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74" s="15"/>
    </row>
    <row r="975" spans="1:18" x14ac:dyDescent="0.2">
      <c r="A975" s="1">
        <v>973</v>
      </c>
      <c r="B975" s="6" t="s">
        <v>1591</v>
      </c>
      <c r="C975" t="s">
        <v>32</v>
      </c>
      <c r="D975" t="s">
        <v>38</v>
      </c>
      <c r="E975">
        <v>32</v>
      </c>
      <c r="F975" t="s">
        <v>195</v>
      </c>
      <c r="G975" t="s">
        <v>28</v>
      </c>
      <c r="H975" s="6" t="s">
        <v>1932</v>
      </c>
      <c r="I975" s="11">
        <v>116680.63</v>
      </c>
      <c r="J975" t="s">
        <v>143</v>
      </c>
      <c r="K975">
        <v>-3095055604</v>
      </c>
      <c r="L975" t="s">
        <v>23</v>
      </c>
      <c r="M975" t="b">
        <v>1</v>
      </c>
      <c r="N975" s="17">
        <f t="shared" si="15"/>
        <v>43867</v>
      </c>
      <c r="O975" t="str">
        <f>LEFT(Table1[[#This Row],[Department_Region]], FIND("-", Table1[[#This Row],[Department_Region]]) - 1)</f>
        <v>HR</v>
      </c>
      <c r="P975" t="str">
        <f>RIGHT(Table1[[#This Row],[Department_Region]],LEN(Table1[[#This Row],[Department_Region]]) - FIND("-",Table1[[#This Row],[Department_Region]]))</f>
        <v>Illinois</v>
      </c>
      <c r="Q97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75" s="15"/>
    </row>
    <row r="976" spans="1:18" x14ac:dyDescent="0.2">
      <c r="A976" s="1">
        <v>974</v>
      </c>
      <c r="B976" s="6" t="s">
        <v>1592</v>
      </c>
      <c r="C976" t="s">
        <v>69</v>
      </c>
      <c r="D976" t="s">
        <v>20</v>
      </c>
      <c r="E976">
        <v>25</v>
      </c>
      <c r="F976" t="s">
        <v>113</v>
      </c>
      <c r="G976" t="s">
        <v>33</v>
      </c>
      <c r="H976" s="6" t="s">
        <v>1593</v>
      </c>
      <c r="I976" s="11">
        <v>76343.56</v>
      </c>
      <c r="J976" t="s">
        <v>204</v>
      </c>
      <c r="K976">
        <v>-7121988191</v>
      </c>
      <c r="L976" t="s">
        <v>23</v>
      </c>
      <c r="M976" t="b">
        <v>0</v>
      </c>
      <c r="N976" s="17">
        <f t="shared" si="15"/>
        <v>45577</v>
      </c>
      <c r="O976" t="str">
        <f>LEFT(Table1[[#This Row],[Department_Region]], FIND("-", Table1[[#This Row],[Department_Region]]) - 1)</f>
        <v>Finance</v>
      </c>
      <c r="P976" t="str">
        <f>RIGHT(Table1[[#This Row],[Department_Region]],LEN(Table1[[#This Row],[Department_Region]]) - FIND("-",Table1[[#This Row],[Department_Region]]))</f>
        <v>Florida</v>
      </c>
      <c r="Q97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76" s="15"/>
    </row>
    <row r="977" spans="1:18" x14ac:dyDescent="0.2">
      <c r="A977" s="1">
        <v>975</v>
      </c>
      <c r="B977" s="6" t="s">
        <v>1594</v>
      </c>
      <c r="C977" t="s">
        <v>25</v>
      </c>
      <c r="D977" t="s">
        <v>55</v>
      </c>
      <c r="E977">
        <v>30</v>
      </c>
      <c r="F977" t="s">
        <v>222</v>
      </c>
      <c r="G977" t="s">
        <v>33</v>
      </c>
      <c r="H977" s="6" t="s">
        <v>1305</v>
      </c>
      <c r="I977" s="11">
        <v>99424.14</v>
      </c>
      <c r="J977" t="s">
        <v>152</v>
      </c>
      <c r="K977">
        <v>-7788519052</v>
      </c>
      <c r="L977" t="s">
        <v>23</v>
      </c>
      <c r="M977" t="b">
        <v>0</v>
      </c>
      <c r="N977" s="17">
        <f t="shared" si="15"/>
        <v>45642</v>
      </c>
      <c r="O977" t="str">
        <f>LEFT(Table1[[#This Row],[Department_Region]], FIND("-", Table1[[#This Row],[Department_Region]]) - 1)</f>
        <v>Sales</v>
      </c>
      <c r="P977" t="str">
        <f>RIGHT(Table1[[#This Row],[Department_Region]],LEN(Table1[[#This Row],[Department_Region]]) - FIND("-",Table1[[#This Row],[Department_Region]]))</f>
        <v>Nevada</v>
      </c>
      <c r="Q97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77" s="15"/>
    </row>
    <row r="978" spans="1:18" x14ac:dyDescent="0.2">
      <c r="A978" s="1">
        <v>976</v>
      </c>
      <c r="B978" s="6" t="s">
        <v>1595</v>
      </c>
      <c r="C978" t="s">
        <v>54</v>
      </c>
      <c r="D978" t="s">
        <v>43</v>
      </c>
      <c r="E978">
        <v>35</v>
      </c>
      <c r="F978" t="s">
        <v>233</v>
      </c>
      <c r="G978" t="s">
        <v>33</v>
      </c>
      <c r="H978" s="6" t="s">
        <v>1596</v>
      </c>
      <c r="I978" s="11">
        <v>57656.74</v>
      </c>
      <c r="J978" t="s">
        <v>88</v>
      </c>
      <c r="K978">
        <v>-4864010423</v>
      </c>
      <c r="L978" t="s">
        <v>30</v>
      </c>
      <c r="M978" t="b">
        <v>1</v>
      </c>
      <c r="N978" s="17">
        <f t="shared" si="15"/>
        <v>45395</v>
      </c>
      <c r="O978" t="str">
        <f>LEFT(Table1[[#This Row],[Department_Region]], FIND("-", Table1[[#This Row],[Department_Region]]) - 1)</f>
        <v>DevOps</v>
      </c>
      <c r="P978" t="str">
        <f>RIGHT(Table1[[#This Row],[Department_Region]],LEN(Table1[[#This Row],[Department_Region]]) - FIND("-",Table1[[#This Row],[Department_Region]]))</f>
        <v>Florida</v>
      </c>
      <c r="Q97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78" s="15"/>
    </row>
    <row r="979" spans="1:18" x14ac:dyDescent="0.2">
      <c r="A979" s="1">
        <v>977</v>
      </c>
      <c r="B979" s="6" t="s">
        <v>1597</v>
      </c>
      <c r="C979" t="s">
        <v>65</v>
      </c>
      <c r="D979" t="s">
        <v>43</v>
      </c>
      <c r="E979">
        <v>40</v>
      </c>
      <c r="F979" t="s">
        <v>110</v>
      </c>
      <c r="G979" t="s">
        <v>28</v>
      </c>
      <c r="H979" s="6" t="s">
        <v>666</v>
      </c>
      <c r="I979" s="11">
        <v>77396.94</v>
      </c>
      <c r="J979" t="s">
        <v>261</v>
      </c>
      <c r="K979">
        <v>-6245618516</v>
      </c>
      <c r="L979" t="s">
        <v>23</v>
      </c>
      <c r="M979" t="b">
        <v>1</v>
      </c>
      <c r="N979" s="17">
        <f t="shared" si="15"/>
        <v>43945</v>
      </c>
      <c r="O979" t="str">
        <f>LEFT(Table1[[#This Row],[Department_Region]], FIND("-", Table1[[#This Row],[Department_Region]]) - 1)</f>
        <v>Sales</v>
      </c>
      <c r="P979" t="str">
        <f>RIGHT(Table1[[#This Row],[Department_Region]],LEN(Table1[[#This Row],[Department_Region]]) - FIND("-",Table1[[#This Row],[Department_Region]]))</f>
        <v>New York</v>
      </c>
      <c r="Q97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79" s="15"/>
    </row>
    <row r="980" spans="1:18" x14ac:dyDescent="0.2">
      <c r="A980" s="1">
        <v>978</v>
      </c>
      <c r="B980" s="6" t="s">
        <v>1598</v>
      </c>
      <c r="C980" t="s">
        <v>69</v>
      </c>
      <c r="D980" t="s">
        <v>43</v>
      </c>
      <c r="E980">
        <v>32</v>
      </c>
      <c r="F980" t="s">
        <v>15</v>
      </c>
      <c r="G980" t="s">
        <v>33</v>
      </c>
      <c r="H980" s="6" t="s">
        <v>1599</v>
      </c>
      <c r="I980" s="11">
        <v>54299.68</v>
      </c>
      <c r="J980" t="s">
        <v>84</v>
      </c>
      <c r="K980">
        <v>-4460045211</v>
      </c>
      <c r="L980" t="s">
        <v>18</v>
      </c>
      <c r="M980" t="b">
        <v>0</v>
      </c>
      <c r="N980" s="17">
        <f t="shared" si="15"/>
        <v>44487</v>
      </c>
      <c r="O980" t="str">
        <f>LEFT(Table1[[#This Row],[Department_Region]], FIND("-", Table1[[#This Row],[Department_Region]]) - 1)</f>
        <v>DevOps</v>
      </c>
      <c r="P980" t="str">
        <f>RIGHT(Table1[[#This Row],[Department_Region]],LEN(Table1[[#This Row],[Department_Region]]) - FIND("-",Table1[[#This Row],[Department_Region]]))</f>
        <v>California</v>
      </c>
      <c r="Q98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80" s="15"/>
    </row>
    <row r="981" spans="1:18" x14ac:dyDescent="0.2">
      <c r="A981" s="1">
        <v>979</v>
      </c>
      <c r="B981" s="6" t="s">
        <v>1600</v>
      </c>
      <c r="C981" t="s">
        <v>54</v>
      </c>
      <c r="D981" t="s">
        <v>93</v>
      </c>
      <c r="E981">
        <v>35</v>
      </c>
      <c r="F981" t="s">
        <v>151</v>
      </c>
      <c r="G981" t="s">
        <v>28</v>
      </c>
      <c r="H981" s="6" t="s">
        <v>1601</v>
      </c>
      <c r="I981" s="11">
        <v>103563.58</v>
      </c>
      <c r="J981" t="s">
        <v>508</v>
      </c>
      <c r="K981">
        <v>-8991511454</v>
      </c>
      <c r="L981" t="s">
        <v>23</v>
      </c>
      <c r="M981" t="b">
        <v>1</v>
      </c>
      <c r="N981" s="17">
        <f t="shared" si="15"/>
        <v>43886</v>
      </c>
      <c r="O981" t="str">
        <f>LEFT(Table1[[#This Row],[Department_Region]], FIND("-", Table1[[#This Row],[Department_Region]]) - 1)</f>
        <v>HR</v>
      </c>
      <c r="P981" t="str">
        <f>RIGHT(Table1[[#This Row],[Department_Region]],LEN(Table1[[#This Row],[Department_Region]]) - FIND("-",Table1[[#This Row],[Department_Region]]))</f>
        <v>Nevada</v>
      </c>
      <c r="Q98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81" s="15"/>
    </row>
    <row r="982" spans="1:18" x14ac:dyDescent="0.2">
      <c r="A982" s="1">
        <v>980</v>
      </c>
      <c r="B982" s="6" t="s">
        <v>1602</v>
      </c>
      <c r="C982" t="s">
        <v>69</v>
      </c>
      <c r="D982" t="s">
        <v>20</v>
      </c>
      <c r="E982">
        <v>25</v>
      </c>
      <c r="F982" t="s">
        <v>70</v>
      </c>
      <c r="G982" t="s">
        <v>33</v>
      </c>
      <c r="H982" s="6" t="s">
        <v>764</v>
      </c>
      <c r="I982" s="11">
        <v>74588.850000000006</v>
      </c>
      <c r="J982" t="s">
        <v>204</v>
      </c>
      <c r="K982">
        <v>-1293913043</v>
      </c>
      <c r="L982" t="s">
        <v>18</v>
      </c>
      <c r="M982" t="b">
        <v>0</v>
      </c>
      <c r="N982" s="17">
        <f t="shared" si="15"/>
        <v>44674</v>
      </c>
      <c r="O982" t="str">
        <f>LEFT(Table1[[#This Row],[Department_Region]], FIND("-", Table1[[#This Row],[Department_Region]]) - 1)</f>
        <v>Finance</v>
      </c>
      <c r="P982" t="str">
        <f>RIGHT(Table1[[#This Row],[Department_Region]],LEN(Table1[[#This Row],[Department_Region]]) - FIND("-",Table1[[#This Row],[Department_Region]]))</f>
        <v>California</v>
      </c>
      <c r="Q98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82" s="15"/>
    </row>
    <row r="983" spans="1:18" x14ac:dyDescent="0.2">
      <c r="A983" s="1">
        <v>981</v>
      </c>
      <c r="B983" s="6" t="s">
        <v>1603</v>
      </c>
      <c r="C983" t="s">
        <v>59</v>
      </c>
      <c r="D983" t="s">
        <v>43</v>
      </c>
      <c r="E983">
        <v>30</v>
      </c>
      <c r="F983" t="s">
        <v>15</v>
      </c>
      <c r="G983" t="s">
        <v>28</v>
      </c>
      <c r="H983" s="6" t="s">
        <v>1604</v>
      </c>
      <c r="I983" s="11">
        <v>113727.23</v>
      </c>
      <c r="J983" t="s">
        <v>102</v>
      </c>
      <c r="K983">
        <v>-8818984840</v>
      </c>
      <c r="L983" t="s">
        <v>41</v>
      </c>
      <c r="M983" t="b">
        <v>0</v>
      </c>
      <c r="N983" s="17">
        <f t="shared" si="15"/>
        <v>44004</v>
      </c>
      <c r="O983" t="str">
        <f>LEFT(Table1[[#This Row],[Department_Region]], FIND("-", Table1[[#This Row],[Department_Region]]) - 1)</f>
        <v>DevOps</v>
      </c>
      <c r="P983" t="str">
        <f>RIGHT(Table1[[#This Row],[Department_Region]],LEN(Table1[[#This Row],[Department_Region]]) - FIND("-",Table1[[#This Row],[Department_Region]]))</f>
        <v>California</v>
      </c>
      <c r="Q98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83" s="15"/>
    </row>
    <row r="984" spans="1:18" x14ac:dyDescent="0.2">
      <c r="A984" s="1">
        <v>982</v>
      </c>
      <c r="B984" s="6" t="s">
        <v>1605</v>
      </c>
      <c r="C984" t="s">
        <v>32</v>
      </c>
      <c r="D984" t="s">
        <v>20</v>
      </c>
      <c r="E984">
        <v>25</v>
      </c>
      <c r="F984" t="s">
        <v>66</v>
      </c>
      <c r="G984" t="s">
        <v>16</v>
      </c>
      <c r="H984" s="6" t="s">
        <v>1933</v>
      </c>
      <c r="I984" s="11">
        <v>72828.179999999993</v>
      </c>
      <c r="J984" t="s">
        <v>157</v>
      </c>
      <c r="K984">
        <v>-6046154020</v>
      </c>
      <c r="L984" t="s">
        <v>30</v>
      </c>
      <c r="M984" t="b">
        <v>0</v>
      </c>
      <c r="N984" s="17">
        <f t="shared" si="15"/>
        <v>44933</v>
      </c>
      <c r="O984" t="str">
        <f>LEFT(Table1[[#This Row],[Department_Region]], FIND("-", Table1[[#This Row],[Department_Region]]) - 1)</f>
        <v>HR</v>
      </c>
      <c r="P984" t="str">
        <f>RIGHT(Table1[[#This Row],[Department_Region]],LEN(Table1[[#This Row],[Department_Region]]) - FIND("-",Table1[[#This Row],[Department_Region]]))</f>
        <v>New York</v>
      </c>
      <c r="Q98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84" s="15"/>
    </row>
    <row r="985" spans="1:18" x14ac:dyDescent="0.2">
      <c r="A985" s="1">
        <v>983</v>
      </c>
      <c r="B985" s="6" t="s">
        <v>1606</v>
      </c>
      <c r="C985" t="s">
        <v>69</v>
      </c>
      <c r="D985" t="s">
        <v>26</v>
      </c>
      <c r="E985">
        <v>32</v>
      </c>
      <c r="F985" t="s">
        <v>75</v>
      </c>
      <c r="G985" t="s">
        <v>33</v>
      </c>
      <c r="H985" s="6" t="s">
        <v>1836</v>
      </c>
      <c r="I985" s="11">
        <v>98717.09</v>
      </c>
      <c r="J985" t="s">
        <v>77</v>
      </c>
      <c r="K985">
        <v>-1901707567</v>
      </c>
      <c r="L985" t="s">
        <v>41</v>
      </c>
      <c r="M985" t="b">
        <v>0</v>
      </c>
      <c r="N985" s="17">
        <f t="shared" si="15"/>
        <v>43872</v>
      </c>
      <c r="O985" t="str">
        <f>LEFT(Table1[[#This Row],[Department_Region]], FIND("-", Table1[[#This Row],[Department_Region]]) - 1)</f>
        <v>Sales</v>
      </c>
      <c r="P985" t="str">
        <f>RIGHT(Table1[[#This Row],[Department_Region]],LEN(Table1[[#This Row],[Department_Region]]) - FIND("-",Table1[[#This Row],[Department_Region]]))</f>
        <v>Florida</v>
      </c>
      <c r="Q98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85" s="15"/>
    </row>
    <row r="986" spans="1:18" x14ac:dyDescent="0.2">
      <c r="A986" s="1">
        <v>984</v>
      </c>
      <c r="B986" s="6" t="s">
        <v>1607</v>
      </c>
      <c r="C986" t="s">
        <v>37</v>
      </c>
      <c r="D986" t="s">
        <v>43</v>
      </c>
      <c r="E986">
        <v>40</v>
      </c>
      <c r="F986" t="s">
        <v>75</v>
      </c>
      <c r="G986" t="s">
        <v>33</v>
      </c>
      <c r="H986" s="6" t="s">
        <v>518</v>
      </c>
      <c r="I986" s="11">
        <v>56840.800000000003</v>
      </c>
      <c r="J986" t="s">
        <v>183</v>
      </c>
      <c r="K986">
        <v>-1429831521</v>
      </c>
      <c r="L986" t="s">
        <v>41</v>
      </c>
      <c r="M986" t="b">
        <v>1</v>
      </c>
      <c r="N986" s="17">
        <f t="shared" si="15"/>
        <v>45003</v>
      </c>
      <c r="O986" t="str">
        <f>LEFT(Table1[[#This Row],[Department_Region]], FIND("-", Table1[[#This Row],[Department_Region]]) - 1)</f>
        <v>Sales</v>
      </c>
      <c r="P986" t="str">
        <f>RIGHT(Table1[[#This Row],[Department_Region]],LEN(Table1[[#This Row],[Department_Region]]) - FIND("-",Table1[[#This Row],[Department_Region]]))</f>
        <v>Florida</v>
      </c>
      <c r="Q98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86" s="15"/>
    </row>
    <row r="987" spans="1:18" x14ac:dyDescent="0.2">
      <c r="A987" s="1">
        <v>985</v>
      </c>
      <c r="B987" s="6" t="s">
        <v>1608</v>
      </c>
      <c r="C987" t="s">
        <v>59</v>
      </c>
      <c r="D987" t="s">
        <v>55</v>
      </c>
      <c r="E987">
        <v>35</v>
      </c>
      <c r="F987" t="s">
        <v>269</v>
      </c>
      <c r="G987" t="s">
        <v>28</v>
      </c>
      <c r="H987" s="6" t="s">
        <v>1609</v>
      </c>
      <c r="I987" s="11">
        <v>61663.91</v>
      </c>
      <c r="J987" t="s">
        <v>220</v>
      </c>
      <c r="K987">
        <v>-9107322835</v>
      </c>
      <c r="L987" t="s">
        <v>18</v>
      </c>
      <c r="M987" t="b">
        <v>1</v>
      </c>
      <c r="N987" s="17">
        <f t="shared" si="15"/>
        <v>44526</v>
      </c>
      <c r="O987" t="str">
        <f>LEFT(Table1[[#This Row],[Department_Region]], FIND("-", Table1[[#This Row],[Department_Region]]) - 1)</f>
        <v>Finance</v>
      </c>
      <c r="P987" t="str">
        <f>RIGHT(Table1[[#This Row],[Department_Region]],LEN(Table1[[#This Row],[Department_Region]]) - FIND("-",Table1[[#This Row],[Department_Region]]))</f>
        <v>Illinois</v>
      </c>
      <c r="Q98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87" s="15"/>
    </row>
    <row r="988" spans="1:18" x14ac:dyDescent="0.2">
      <c r="A988" s="1">
        <v>986</v>
      </c>
      <c r="B988" s="6" t="s">
        <v>1610</v>
      </c>
      <c r="C988" t="s">
        <v>69</v>
      </c>
      <c r="D988" t="s">
        <v>20</v>
      </c>
      <c r="E988">
        <v>30</v>
      </c>
      <c r="F988" t="s">
        <v>101</v>
      </c>
      <c r="G988" t="s">
        <v>16</v>
      </c>
      <c r="H988" s="6" t="s">
        <v>1611</v>
      </c>
      <c r="I988" s="11">
        <v>109523.4</v>
      </c>
      <c r="J988" t="s">
        <v>204</v>
      </c>
      <c r="K988">
        <v>-849378305</v>
      </c>
      <c r="L988" t="s">
        <v>41</v>
      </c>
      <c r="M988" t="b">
        <v>1</v>
      </c>
      <c r="N988" s="17">
        <f t="shared" si="15"/>
        <v>45552</v>
      </c>
      <c r="O988" t="str">
        <f>LEFT(Table1[[#This Row],[Department_Region]], FIND("-", Table1[[#This Row],[Department_Region]]) - 1)</f>
        <v>Finance</v>
      </c>
      <c r="P988" t="str">
        <f>RIGHT(Table1[[#This Row],[Department_Region]],LEN(Table1[[#This Row],[Department_Region]]) - FIND("-",Table1[[#This Row],[Department_Region]]))</f>
        <v>Nevada</v>
      </c>
      <c r="Q98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88" s="15"/>
    </row>
    <row r="989" spans="1:18" x14ac:dyDescent="0.2">
      <c r="A989" s="1">
        <v>987</v>
      </c>
      <c r="B989" s="6" t="s">
        <v>1612</v>
      </c>
      <c r="C989" t="s">
        <v>32</v>
      </c>
      <c r="D989" t="s">
        <v>20</v>
      </c>
      <c r="E989">
        <v>25</v>
      </c>
      <c r="F989" t="s">
        <v>195</v>
      </c>
      <c r="G989" t="s">
        <v>33</v>
      </c>
      <c r="H989" s="6" t="s">
        <v>1724</v>
      </c>
      <c r="I989" s="11">
        <v>65812.02</v>
      </c>
      <c r="J989" t="s">
        <v>157</v>
      </c>
      <c r="K989">
        <v>-3963845268</v>
      </c>
      <c r="L989" t="s">
        <v>18</v>
      </c>
      <c r="M989" t="b">
        <v>1</v>
      </c>
      <c r="N989" s="17">
        <f t="shared" si="15"/>
        <v>45478</v>
      </c>
      <c r="O989" t="str">
        <f>LEFT(Table1[[#This Row],[Department_Region]], FIND("-", Table1[[#This Row],[Department_Region]]) - 1)</f>
        <v>HR</v>
      </c>
      <c r="P989" t="str">
        <f>RIGHT(Table1[[#This Row],[Department_Region]],LEN(Table1[[#This Row],[Department_Region]]) - FIND("-",Table1[[#This Row],[Department_Region]]))</f>
        <v>Illinois</v>
      </c>
      <c r="Q98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89" s="15"/>
    </row>
    <row r="990" spans="1:18" x14ac:dyDescent="0.2">
      <c r="A990" s="1">
        <v>988</v>
      </c>
      <c r="B990" s="6" t="s">
        <v>1613</v>
      </c>
      <c r="C990" t="s">
        <v>13</v>
      </c>
      <c r="D990" t="s">
        <v>55</v>
      </c>
      <c r="E990">
        <v>32</v>
      </c>
      <c r="F990" t="s">
        <v>96</v>
      </c>
      <c r="G990" t="s">
        <v>33</v>
      </c>
      <c r="H990" s="6" t="s">
        <v>1614</v>
      </c>
      <c r="I990" s="11">
        <v>54708.88</v>
      </c>
      <c r="J990" t="s">
        <v>202</v>
      </c>
      <c r="K990">
        <v>-6944391648</v>
      </c>
      <c r="L990" t="s">
        <v>23</v>
      </c>
      <c r="M990" t="b">
        <v>1</v>
      </c>
      <c r="N990" s="17">
        <f t="shared" si="15"/>
        <v>44390</v>
      </c>
      <c r="O990" t="str">
        <f>LEFT(Table1[[#This Row],[Department_Region]], FIND("-", Table1[[#This Row],[Department_Region]]) - 1)</f>
        <v>Cloud Tech</v>
      </c>
      <c r="P990" t="str">
        <f>RIGHT(Table1[[#This Row],[Department_Region]],LEN(Table1[[#This Row],[Department_Region]]) - FIND("-",Table1[[#This Row],[Department_Region]]))</f>
        <v>Illinois</v>
      </c>
      <c r="Q99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90" s="15"/>
    </row>
    <row r="991" spans="1:18" x14ac:dyDescent="0.2">
      <c r="A991" s="1">
        <v>989</v>
      </c>
      <c r="B991" s="6" t="s">
        <v>1615</v>
      </c>
      <c r="C991" t="s">
        <v>65</v>
      </c>
      <c r="D991" t="s">
        <v>43</v>
      </c>
      <c r="E991">
        <v>40</v>
      </c>
      <c r="F991" t="s">
        <v>120</v>
      </c>
      <c r="G991" t="s">
        <v>16</v>
      </c>
      <c r="H991" s="6" t="s">
        <v>918</v>
      </c>
      <c r="I991" s="11">
        <v>107661.73</v>
      </c>
      <c r="J991" t="s">
        <v>261</v>
      </c>
      <c r="K991">
        <v>-7016934291</v>
      </c>
      <c r="L991" t="s">
        <v>23</v>
      </c>
      <c r="M991" t="b">
        <v>1</v>
      </c>
      <c r="N991" s="17">
        <f t="shared" si="15"/>
        <v>45165</v>
      </c>
      <c r="O991" t="str">
        <f>LEFT(Table1[[#This Row],[Department_Region]], FIND("-", Table1[[#This Row],[Department_Region]]) - 1)</f>
        <v>Admin</v>
      </c>
      <c r="P991" t="str">
        <f>RIGHT(Table1[[#This Row],[Department_Region]],LEN(Table1[[#This Row],[Department_Region]]) - FIND("-",Table1[[#This Row],[Department_Region]]))</f>
        <v>California</v>
      </c>
      <c r="Q99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91" s="15"/>
    </row>
    <row r="992" spans="1:18" x14ac:dyDescent="0.2">
      <c r="A992" s="1">
        <v>990</v>
      </c>
      <c r="B992" s="6" t="s">
        <v>1616</v>
      </c>
      <c r="C992" t="s">
        <v>32</v>
      </c>
      <c r="D992" t="s">
        <v>55</v>
      </c>
      <c r="E992">
        <v>40</v>
      </c>
      <c r="F992" t="s">
        <v>79</v>
      </c>
      <c r="G992" t="s">
        <v>33</v>
      </c>
      <c r="H992" s="6" t="s">
        <v>1567</v>
      </c>
      <c r="I992" s="11">
        <v>79002</v>
      </c>
      <c r="J992" t="s">
        <v>327</v>
      </c>
      <c r="K992">
        <v>-9132033015</v>
      </c>
      <c r="L992" t="s">
        <v>18</v>
      </c>
      <c r="M992" t="b">
        <v>1</v>
      </c>
      <c r="N992" s="17">
        <f t="shared" si="15"/>
        <v>44240</v>
      </c>
      <c r="O992" t="str">
        <f>LEFT(Table1[[#This Row],[Department_Region]], FIND("-", Table1[[#This Row],[Department_Region]]) - 1)</f>
        <v>DevOps</v>
      </c>
      <c r="P992" t="str">
        <f>RIGHT(Table1[[#This Row],[Department_Region]],LEN(Table1[[#This Row],[Department_Region]]) - FIND("-",Table1[[#This Row],[Department_Region]]))</f>
        <v>Illinois</v>
      </c>
      <c r="Q99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92" s="15"/>
    </row>
    <row r="993" spans="1:18" x14ac:dyDescent="0.2">
      <c r="A993" s="1">
        <v>991</v>
      </c>
      <c r="B993" s="6" t="s">
        <v>1617</v>
      </c>
      <c r="C993" t="s">
        <v>65</v>
      </c>
      <c r="D993" t="s">
        <v>20</v>
      </c>
      <c r="E993">
        <v>32</v>
      </c>
      <c r="F993" t="s">
        <v>104</v>
      </c>
      <c r="G993" t="s">
        <v>28</v>
      </c>
      <c r="H993" s="6" t="s">
        <v>1618</v>
      </c>
      <c r="I993" s="11">
        <v>86135.69</v>
      </c>
      <c r="J993" t="s">
        <v>410</v>
      </c>
      <c r="K993">
        <v>-2341903105</v>
      </c>
      <c r="L993" t="s">
        <v>23</v>
      </c>
      <c r="M993" t="b">
        <v>0</v>
      </c>
      <c r="N993" s="17">
        <f t="shared" si="15"/>
        <v>45271</v>
      </c>
      <c r="O993" t="str">
        <f>LEFT(Table1[[#This Row],[Department_Region]], FIND("-", Table1[[#This Row],[Department_Region]]) - 1)</f>
        <v>Admin</v>
      </c>
      <c r="P993" t="str">
        <f>RIGHT(Table1[[#This Row],[Department_Region]],LEN(Table1[[#This Row],[Department_Region]]) - FIND("-",Table1[[#This Row],[Department_Region]]))</f>
        <v>Texas</v>
      </c>
      <c r="Q99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993" s="15"/>
    </row>
    <row r="994" spans="1:18" x14ac:dyDescent="0.2">
      <c r="A994" s="1">
        <v>992</v>
      </c>
      <c r="B994" s="6" t="s">
        <v>1619</v>
      </c>
      <c r="C994" t="s">
        <v>65</v>
      </c>
      <c r="D994" t="s">
        <v>55</v>
      </c>
      <c r="E994">
        <v>30</v>
      </c>
      <c r="F994" t="s">
        <v>333</v>
      </c>
      <c r="G994" t="s">
        <v>33</v>
      </c>
      <c r="H994" s="6" t="s">
        <v>1934</v>
      </c>
      <c r="I994" s="11">
        <v>115601.4</v>
      </c>
      <c r="J994" t="s">
        <v>114</v>
      </c>
      <c r="K994">
        <v>-1537221555</v>
      </c>
      <c r="L994" t="s">
        <v>30</v>
      </c>
      <c r="M994" t="b">
        <v>1</v>
      </c>
      <c r="N994" s="17">
        <f t="shared" si="15"/>
        <v>44379</v>
      </c>
      <c r="O994" t="str">
        <f>LEFT(Table1[[#This Row],[Department_Region]], FIND("-", Table1[[#This Row],[Department_Region]]) - 1)</f>
        <v>DevOps</v>
      </c>
      <c r="P994" t="str">
        <f>RIGHT(Table1[[#This Row],[Department_Region]],LEN(Table1[[#This Row],[Department_Region]]) - FIND("-",Table1[[#This Row],[Department_Region]]))</f>
        <v>Nevada</v>
      </c>
      <c r="Q99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94" s="15"/>
    </row>
    <row r="995" spans="1:18" x14ac:dyDescent="0.2">
      <c r="A995" s="1">
        <v>993</v>
      </c>
      <c r="B995" s="6" t="s">
        <v>1620</v>
      </c>
      <c r="C995" t="s">
        <v>69</v>
      </c>
      <c r="D995" t="s">
        <v>20</v>
      </c>
      <c r="E995">
        <v>32</v>
      </c>
      <c r="F995" t="s">
        <v>333</v>
      </c>
      <c r="G995" t="s">
        <v>16</v>
      </c>
      <c r="H995" s="6" t="s">
        <v>1935</v>
      </c>
      <c r="I995" s="11">
        <v>64045.36</v>
      </c>
      <c r="J995" t="s">
        <v>204</v>
      </c>
      <c r="K995">
        <v>-6847323652</v>
      </c>
      <c r="L995" t="s">
        <v>41</v>
      </c>
      <c r="M995" t="b">
        <v>1</v>
      </c>
      <c r="N995" s="17">
        <f t="shared" si="15"/>
        <v>44900</v>
      </c>
      <c r="O995" t="str">
        <f>LEFT(Table1[[#This Row],[Department_Region]], FIND("-", Table1[[#This Row],[Department_Region]]) - 1)</f>
        <v>DevOps</v>
      </c>
      <c r="P995" t="str">
        <f>RIGHT(Table1[[#This Row],[Department_Region]],LEN(Table1[[#This Row],[Department_Region]]) - FIND("-",Table1[[#This Row],[Department_Region]]))</f>
        <v>Nevada</v>
      </c>
      <c r="Q99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95" s="15"/>
    </row>
    <row r="996" spans="1:18" x14ac:dyDescent="0.2">
      <c r="A996" s="1">
        <v>994</v>
      </c>
      <c r="B996" s="6" t="s">
        <v>1621</v>
      </c>
      <c r="C996" t="s">
        <v>59</v>
      </c>
      <c r="D996" t="s">
        <v>20</v>
      </c>
      <c r="E996">
        <v>30</v>
      </c>
      <c r="F996" t="s">
        <v>333</v>
      </c>
      <c r="G996" t="s">
        <v>33</v>
      </c>
      <c r="H996" s="6" t="s">
        <v>1622</v>
      </c>
      <c r="I996" s="11">
        <v>80477.210000000006</v>
      </c>
      <c r="J996" t="s">
        <v>228</v>
      </c>
      <c r="K996">
        <v>-3774604066</v>
      </c>
      <c r="L996" t="s">
        <v>30</v>
      </c>
      <c r="M996" t="b">
        <v>0</v>
      </c>
      <c r="N996" s="17">
        <f t="shared" si="15"/>
        <v>45559</v>
      </c>
      <c r="O996" t="str">
        <f>LEFT(Table1[[#This Row],[Department_Region]], FIND("-", Table1[[#This Row],[Department_Region]]) - 1)</f>
        <v>DevOps</v>
      </c>
      <c r="P996" t="str">
        <f>RIGHT(Table1[[#This Row],[Department_Region]],LEN(Table1[[#This Row],[Department_Region]]) - FIND("-",Table1[[#This Row],[Department_Region]]))</f>
        <v>Nevada</v>
      </c>
      <c r="Q99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996" s="15"/>
    </row>
    <row r="997" spans="1:18" x14ac:dyDescent="0.2">
      <c r="A997" s="1">
        <v>995</v>
      </c>
      <c r="B997" s="6" t="s">
        <v>1623</v>
      </c>
      <c r="C997" t="s">
        <v>13</v>
      </c>
      <c r="D997" t="s">
        <v>26</v>
      </c>
      <c r="E997">
        <v>30</v>
      </c>
      <c r="F997" t="s">
        <v>70</v>
      </c>
      <c r="G997" t="s">
        <v>33</v>
      </c>
      <c r="H997" s="6" t="s">
        <v>1624</v>
      </c>
      <c r="I997" s="11">
        <v>61240.9</v>
      </c>
      <c r="J997" t="s">
        <v>50</v>
      </c>
      <c r="K997">
        <v>-2007843613</v>
      </c>
      <c r="L997" t="s">
        <v>41</v>
      </c>
      <c r="M997" t="b">
        <v>1</v>
      </c>
      <c r="N997" s="17">
        <f t="shared" si="15"/>
        <v>45154</v>
      </c>
      <c r="O997" t="str">
        <f>LEFT(Table1[[#This Row],[Department_Region]], FIND("-", Table1[[#This Row],[Department_Region]]) - 1)</f>
        <v>Finance</v>
      </c>
      <c r="P997" t="str">
        <f>RIGHT(Table1[[#This Row],[Department_Region]],LEN(Table1[[#This Row],[Department_Region]]) - FIND("-",Table1[[#This Row],[Department_Region]]))</f>
        <v>California</v>
      </c>
      <c r="Q99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97" s="15"/>
    </row>
    <row r="998" spans="1:18" x14ac:dyDescent="0.2">
      <c r="A998" s="1">
        <v>996</v>
      </c>
      <c r="B998" s="6" t="s">
        <v>1625</v>
      </c>
      <c r="C998" t="s">
        <v>59</v>
      </c>
      <c r="D998" t="s">
        <v>124</v>
      </c>
      <c r="E998">
        <v>40</v>
      </c>
      <c r="F998" t="s">
        <v>104</v>
      </c>
      <c r="G998" t="s">
        <v>16</v>
      </c>
      <c r="H998" s="6" t="s">
        <v>1626</v>
      </c>
      <c r="I998" s="11">
        <v>51939.29</v>
      </c>
      <c r="J998" t="s">
        <v>346</v>
      </c>
      <c r="K998">
        <v>-2442607818</v>
      </c>
      <c r="L998" t="s">
        <v>23</v>
      </c>
      <c r="M998" t="b">
        <v>1</v>
      </c>
      <c r="N998" s="17">
        <f t="shared" si="15"/>
        <v>44224</v>
      </c>
      <c r="O998" t="str">
        <f>LEFT(Table1[[#This Row],[Department_Region]], FIND("-", Table1[[#This Row],[Department_Region]]) - 1)</f>
        <v>Admin</v>
      </c>
      <c r="P998" t="str">
        <f>RIGHT(Table1[[#This Row],[Department_Region]],LEN(Table1[[#This Row],[Department_Region]]) - FIND("-",Table1[[#This Row],[Department_Region]]))</f>
        <v>Texas</v>
      </c>
      <c r="Q99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98" s="15"/>
    </row>
    <row r="999" spans="1:18" x14ac:dyDescent="0.2">
      <c r="A999" s="1">
        <v>997</v>
      </c>
      <c r="B999" s="6" t="s">
        <v>1627</v>
      </c>
      <c r="C999" t="s">
        <v>32</v>
      </c>
      <c r="D999" t="s">
        <v>20</v>
      </c>
      <c r="E999">
        <v>40</v>
      </c>
      <c r="F999" t="s">
        <v>269</v>
      </c>
      <c r="G999" t="s">
        <v>33</v>
      </c>
      <c r="H999" s="6" t="s">
        <v>1184</v>
      </c>
      <c r="I999" s="11">
        <v>95284.54</v>
      </c>
      <c r="J999" t="s">
        <v>157</v>
      </c>
      <c r="K999">
        <v>-7543734763</v>
      </c>
      <c r="L999" t="s">
        <v>30</v>
      </c>
      <c r="M999" t="b">
        <v>0</v>
      </c>
      <c r="N999" s="17">
        <f t="shared" si="15"/>
        <v>44695</v>
      </c>
      <c r="O999" t="str">
        <f>LEFT(Table1[[#This Row],[Department_Region]], FIND("-", Table1[[#This Row],[Department_Region]]) - 1)</f>
        <v>Finance</v>
      </c>
      <c r="P999" t="str">
        <f>RIGHT(Table1[[#This Row],[Department_Region]],LEN(Table1[[#This Row],[Department_Region]]) - FIND("-",Table1[[#This Row],[Department_Region]]))</f>
        <v>Illinois</v>
      </c>
      <c r="Q99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999" s="15"/>
    </row>
    <row r="1000" spans="1:18" x14ac:dyDescent="0.2">
      <c r="A1000" s="1">
        <v>998</v>
      </c>
      <c r="B1000" s="6" t="s">
        <v>1628</v>
      </c>
      <c r="C1000" t="s">
        <v>54</v>
      </c>
      <c r="D1000" t="s">
        <v>43</v>
      </c>
      <c r="E1000">
        <v>35</v>
      </c>
      <c r="F1000" t="s">
        <v>104</v>
      </c>
      <c r="G1000" t="s">
        <v>33</v>
      </c>
      <c r="H1000" s="6" t="s">
        <v>1731</v>
      </c>
      <c r="I1000" s="11">
        <v>106247.67</v>
      </c>
      <c r="J1000" t="s">
        <v>88</v>
      </c>
      <c r="K1000">
        <v>-2737203762</v>
      </c>
      <c r="L1000" t="s">
        <v>23</v>
      </c>
      <c r="M1000" t="b">
        <v>1</v>
      </c>
      <c r="N1000" s="17">
        <f t="shared" si="15"/>
        <v>45448</v>
      </c>
      <c r="O1000" t="str">
        <f>LEFT(Table1[[#This Row],[Department_Region]], FIND("-", Table1[[#This Row],[Department_Region]]) - 1)</f>
        <v>Admin</v>
      </c>
      <c r="P1000" t="str">
        <f>RIGHT(Table1[[#This Row],[Department_Region]],LEN(Table1[[#This Row],[Department_Region]]) - FIND("-",Table1[[#This Row],[Department_Region]]))</f>
        <v>Texas</v>
      </c>
      <c r="Q100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00" s="15"/>
    </row>
    <row r="1001" spans="1:18" x14ac:dyDescent="0.2">
      <c r="A1001" s="1">
        <v>999</v>
      </c>
      <c r="B1001" s="6" t="s">
        <v>1629</v>
      </c>
      <c r="C1001" t="s">
        <v>54</v>
      </c>
      <c r="D1001" t="s">
        <v>38</v>
      </c>
      <c r="E1001">
        <v>25</v>
      </c>
      <c r="F1001" t="s">
        <v>233</v>
      </c>
      <c r="G1001" t="s">
        <v>16</v>
      </c>
      <c r="H1001" s="6" t="s">
        <v>788</v>
      </c>
      <c r="I1001" s="11">
        <v>110170.88</v>
      </c>
      <c r="J1001" t="s">
        <v>91</v>
      </c>
      <c r="K1001">
        <v>-8821458413</v>
      </c>
      <c r="L1001" t="s">
        <v>41</v>
      </c>
      <c r="M1001" t="b">
        <v>1</v>
      </c>
      <c r="N1001" s="17">
        <f t="shared" si="15"/>
        <v>43944</v>
      </c>
      <c r="O1001" t="str">
        <f>LEFT(Table1[[#This Row],[Department_Region]], FIND("-", Table1[[#This Row],[Department_Region]]) - 1)</f>
        <v>DevOps</v>
      </c>
      <c r="P1001" t="str">
        <f>RIGHT(Table1[[#This Row],[Department_Region]],LEN(Table1[[#This Row],[Department_Region]]) - FIND("-",Table1[[#This Row],[Department_Region]]))</f>
        <v>Florida</v>
      </c>
      <c r="Q100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01" s="15"/>
    </row>
    <row r="1002" spans="1:18" x14ac:dyDescent="0.2">
      <c r="A1002" s="1">
        <v>1000</v>
      </c>
      <c r="B1002" s="6" t="s">
        <v>1630</v>
      </c>
      <c r="C1002" t="s">
        <v>54</v>
      </c>
      <c r="D1002" t="s">
        <v>93</v>
      </c>
      <c r="E1002">
        <v>25</v>
      </c>
      <c r="F1002" t="s">
        <v>151</v>
      </c>
      <c r="G1002" t="s">
        <v>28</v>
      </c>
      <c r="H1002" s="6" t="s">
        <v>1682</v>
      </c>
      <c r="I1002" s="11">
        <v>52615.44</v>
      </c>
      <c r="J1002" t="s">
        <v>508</v>
      </c>
      <c r="K1002">
        <v>-8460191343</v>
      </c>
      <c r="L1002" t="s">
        <v>18</v>
      </c>
      <c r="M1002" t="b">
        <v>1</v>
      </c>
      <c r="N1002" s="17">
        <f t="shared" si="15"/>
        <v>45453</v>
      </c>
      <c r="O1002" t="str">
        <f>LEFT(Table1[[#This Row],[Department_Region]], FIND("-", Table1[[#This Row],[Department_Region]]) - 1)</f>
        <v>HR</v>
      </c>
      <c r="P1002" t="str">
        <f>RIGHT(Table1[[#This Row],[Department_Region]],LEN(Table1[[#This Row],[Department_Region]]) - FIND("-",Table1[[#This Row],[Department_Region]]))</f>
        <v>Nevada</v>
      </c>
      <c r="Q100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02" s="15"/>
    </row>
    <row r="1003" spans="1:18" x14ac:dyDescent="0.2">
      <c r="A1003" s="1">
        <v>1001</v>
      </c>
      <c r="B1003" s="6" t="s">
        <v>1631</v>
      </c>
      <c r="C1003" t="s">
        <v>32</v>
      </c>
      <c r="D1003" t="s">
        <v>14</v>
      </c>
      <c r="E1003">
        <v>30</v>
      </c>
      <c r="F1003" t="s">
        <v>79</v>
      </c>
      <c r="G1003" t="s">
        <v>33</v>
      </c>
      <c r="H1003" s="6" t="s">
        <v>1268</v>
      </c>
      <c r="I1003" s="11">
        <v>82547.259999999995</v>
      </c>
      <c r="J1003" t="s">
        <v>35</v>
      </c>
      <c r="K1003">
        <v>-3899827801</v>
      </c>
      <c r="L1003" t="s">
        <v>18</v>
      </c>
      <c r="M1003" t="b">
        <v>0</v>
      </c>
      <c r="N1003" s="17">
        <f t="shared" si="15"/>
        <v>43939</v>
      </c>
      <c r="O1003" t="str">
        <f>LEFT(Table1[[#This Row],[Department_Region]], FIND("-", Table1[[#This Row],[Department_Region]]) - 1)</f>
        <v>DevOps</v>
      </c>
      <c r="P1003" t="str">
        <f>RIGHT(Table1[[#This Row],[Department_Region]],LEN(Table1[[#This Row],[Department_Region]]) - FIND("-",Table1[[#This Row],[Department_Region]]))</f>
        <v>Illinois</v>
      </c>
      <c r="Q100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003" s="15"/>
    </row>
    <row r="1004" spans="1:18" x14ac:dyDescent="0.2">
      <c r="A1004" s="1">
        <v>1002</v>
      </c>
      <c r="B1004" s="6" t="s">
        <v>1632</v>
      </c>
      <c r="C1004" t="s">
        <v>13</v>
      </c>
      <c r="D1004" t="s">
        <v>124</v>
      </c>
      <c r="E1004">
        <v>35</v>
      </c>
      <c r="F1004" t="s">
        <v>269</v>
      </c>
      <c r="G1004" t="s">
        <v>28</v>
      </c>
      <c r="H1004" s="6" t="s">
        <v>1273</v>
      </c>
      <c r="I1004" s="11">
        <v>63049.22</v>
      </c>
      <c r="J1004" t="s">
        <v>125</v>
      </c>
      <c r="K1004">
        <v>-586950731</v>
      </c>
      <c r="L1004" t="s">
        <v>30</v>
      </c>
      <c r="M1004" t="b">
        <v>1</v>
      </c>
      <c r="N1004" s="17">
        <f t="shared" si="15"/>
        <v>44011</v>
      </c>
      <c r="O1004" t="str">
        <f>LEFT(Table1[[#This Row],[Department_Region]], FIND("-", Table1[[#This Row],[Department_Region]]) - 1)</f>
        <v>Finance</v>
      </c>
      <c r="P1004" t="str">
        <f>RIGHT(Table1[[#This Row],[Department_Region]],LEN(Table1[[#This Row],[Department_Region]]) - FIND("-",Table1[[#This Row],[Department_Region]]))</f>
        <v>Illinois</v>
      </c>
      <c r="Q100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04" s="15"/>
    </row>
    <row r="1005" spans="1:18" x14ac:dyDescent="0.2">
      <c r="A1005" s="1">
        <v>1003</v>
      </c>
      <c r="B1005" s="6" t="s">
        <v>1633</v>
      </c>
      <c r="C1005" t="s">
        <v>37</v>
      </c>
      <c r="D1005" t="s">
        <v>124</v>
      </c>
      <c r="E1005">
        <v>35</v>
      </c>
      <c r="F1005" t="s">
        <v>148</v>
      </c>
      <c r="G1005" t="s">
        <v>28</v>
      </c>
      <c r="H1005" s="6" t="s">
        <v>985</v>
      </c>
      <c r="I1005" s="11">
        <v>115229.12</v>
      </c>
      <c r="J1005" t="s">
        <v>139</v>
      </c>
      <c r="K1005">
        <v>-1464493698</v>
      </c>
      <c r="L1005" t="s">
        <v>23</v>
      </c>
      <c r="M1005" t="b">
        <v>1</v>
      </c>
      <c r="N1005" s="17">
        <f t="shared" si="15"/>
        <v>44972</v>
      </c>
      <c r="O1005" t="str">
        <f>LEFT(Table1[[#This Row],[Department_Region]], FIND("-", Table1[[#This Row],[Department_Region]]) - 1)</f>
        <v>HR</v>
      </c>
      <c r="P1005" t="str">
        <f>RIGHT(Table1[[#This Row],[Department_Region]],LEN(Table1[[#This Row],[Department_Region]]) - FIND("-",Table1[[#This Row],[Department_Region]]))</f>
        <v>California</v>
      </c>
      <c r="Q100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05" s="15"/>
    </row>
    <row r="1006" spans="1:18" x14ac:dyDescent="0.2">
      <c r="A1006" s="1">
        <v>1004</v>
      </c>
      <c r="B1006" s="6" t="s">
        <v>1634</v>
      </c>
      <c r="C1006" t="s">
        <v>69</v>
      </c>
      <c r="D1006" t="s">
        <v>124</v>
      </c>
      <c r="E1006">
        <v>25</v>
      </c>
      <c r="F1006" t="s">
        <v>79</v>
      </c>
      <c r="G1006" t="s">
        <v>28</v>
      </c>
      <c r="H1006" s="6" t="s">
        <v>736</v>
      </c>
      <c r="I1006" s="11">
        <v>60687.63</v>
      </c>
      <c r="J1006" t="s">
        <v>137</v>
      </c>
      <c r="K1006">
        <v>-9516793349</v>
      </c>
      <c r="L1006" t="s">
        <v>23</v>
      </c>
      <c r="M1006" t="b">
        <v>0</v>
      </c>
      <c r="N1006" s="17">
        <f t="shared" si="15"/>
        <v>45092</v>
      </c>
      <c r="O1006" t="str">
        <f>LEFT(Table1[[#This Row],[Department_Region]], FIND("-", Table1[[#This Row],[Department_Region]]) - 1)</f>
        <v>DevOps</v>
      </c>
      <c r="P1006" t="str">
        <f>RIGHT(Table1[[#This Row],[Department_Region]],LEN(Table1[[#This Row],[Department_Region]]) - FIND("-",Table1[[#This Row],[Department_Region]]))</f>
        <v>Illinois</v>
      </c>
      <c r="Q100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006" s="15"/>
    </row>
    <row r="1007" spans="1:18" x14ac:dyDescent="0.2">
      <c r="A1007" s="1">
        <v>1005</v>
      </c>
      <c r="B1007" s="6" t="s">
        <v>1635</v>
      </c>
      <c r="C1007" t="s">
        <v>37</v>
      </c>
      <c r="D1007" t="s">
        <v>26</v>
      </c>
      <c r="E1007">
        <v>30</v>
      </c>
      <c r="F1007" t="s">
        <v>269</v>
      </c>
      <c r="G1007" t="s">
        <v>33</v>
      </c>
      <c r="H1007" s="6" t="s">
        <v>1182</v>
      </c>
      <c r="I1007" s="11">
        <v>67492.73</v>
      </c>
      <c r="J1007" t="s">
        <v>47</v>
      </c>
      <c r="K1007">
        <v>-5573857367</v>
      </c>
      <c r="L1007" t="s">
        <v>30</v>
      </c>
      <c r="M1007" t="b">
        <v>1</v>
      </c>
      <c r="N1007" s="17">
        <f t="shared" si="15"/>
        <v>44639</v>
      </c>
      <c r="O1007" t="str">
        <f>LEFT(Table1[[#This Row],[Department_Region]], FIND("-", Table1[[#This Row],[Department_Region]]) - 1)</f>
        <v>Finance</v>
      </c>
      <c r="P1007" t="str">
        <f>RIGHT(Table1[[#This Row],[Department_Region]],LEN(Table1[[#This Row],[Department_Region]]) - FIND("-",Table1[[#This Row],[Department_Region]]))</f>
        <v>Illinois</v>
      </c>
      <c r="Q100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07" s="15"/>
    </row>
    <row r="1008" spans="1:18" x14ac:dyDescent="0.2">
      <c r="A1008" s="1">
        <v>1006</v>
      </c>
      <c r="B1008" s="6" t="s">
        <v>1636</v>
      </c>
      <c r="C1008" t="s">
        <v>69</v>
      </c>
      <c r="D1008" t="s">
        <v>20</v>
      </c>
      <c r="E1008">
        <v>32</v>
      </c>
      <c r="F1008" t="s">
        <v>195</v>
      </c>
      <c r="G1008" t="s">
        <v>33</v>
      </c>
      <c r="H1008" s="6" t="s">
        <v>608</v>
      </c>
      <c r="I1008" s="11">
        <v>77821.789999999994</v>
      </c>
      <c r="J1008" t="s">
        <v>204</v>
      </c>
      <c r="K1008">
        <v>-119236036</v>
      </c>
      <c r="L1008" t="s">
        <v>18</v>
      </c>
      <c r="M1008" t="b">
        <v>0</v>
      </c>
      <c r="N1008" s="17">
        <f t="shared" si="15"/>
        <v>45224</v>
      </c>
      <c r="O1008" t="str">
        <f>LEFT(Table1[[#This Row],[Department_Region]], FIND("-", Table1[[#This Row],[Department_Region]]) - 1)</f>
        <v>HR</v>
      </c>
      <c r="P1008" t="str">
        <f>RIGHT(Table1[[#This Row],[Department_Region]],LEN(Table1[[#This Row],[Department_Region]]) - FIND("-",Table1[[#This Row],[Department_Region]]))</f>
        <v>Illinois</v>
      </c>
      <c r="Q100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08" s="15"/>
    </row>
    <row r="1009" spans="1:18" x14ac:dyDescent="0.2">
      <c r="A1009" s="1">
        <v>1007</v>
      </c>
      <c r="B1009" s="6" t="s">
        <v>1637</v>
      </c>
      <c r="C1009" t="s">
        <v>54</v>
      </c>
      <c r="D1009" t="s">
        <v>26</v>
      </c>
      <c r="E1009">
        <v>35</v>
      </c>
      <c r="F1009" t="s">
        <v>241</v>
      </c>
      <c r="G1009" t="s">
        <v>16</v>
      </c>
      <c r="H1009" s="6" t="s">
        <v>934</v>
      </c>
      <c r="I1009" s="11">
        <v>69146.95</v>
      </c>
      <c r="J1009" t="s">
        <v>122</v>
      </c>
      <c r="K1009">
        <v>-6811872332</v>
      </c>
      <c r="L1009" t="s">
        <v>41</v>
      </c>
      <c r="M1009" t="b">
        <v>0</v>
      </c>
      <c r="N1009" s="17">
        <f t="shared" si="15"/>
        <v>44756</v>
      </c>
      <c r="O1009" t="str">
        <f>LEFT(Table1[[#This Row],[Department_Region]], FIND("-", Table1[[#This Row],[Department_Region]]) - 1)</f>
        <v>DevOps</v>
      </c>
      <c r="P1009" t="str">
        <f>RIGHT(Table1[[#This Row],[Department_Region]],LEN(Table1[[#This Row],[Department_Region]]) - FIND("-",Table1[[#This Row],[Department_Region]]))</f>
        <v>Texas</v>
      </c>
      <c r="Q100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009" s="15"/>
    </row>
    <row r="1010" spans="1:18" x14ac:dyDescent="0.2">
      <c r="A1010" s="1">
        <v>1008</v>
      </c>
      <c r="B1010" s="6" t="s">
        <v>1638</v>
      </c>
      <c r="C1010" t="s">
        <v>69</v>
      </c>
      <c r="D1010" t="s">
        <v>20</v>
      </c>
      <c r="E1010">
        <v>35</v>
      </c>
      <c r="F1010" t="s">
        <v>27</v>
      </c>
      <c r="G1010" t="s">
        <v>33</v>
      </c>
      <c r="H1010" s="6" t="s">
        <v>1911</v>
      </c>
      <c r="I1010" s="11">
        <v>90224.82</v>
      </c>
      <c r="J1010" t="s">
        <v>204</v>
      </c>
      <c r="K1010">
        <v>-5104096148</v>
      </c>
      <c r="L1010" t="s">
        <v>30</v>
      </c>
      <c r="M1010" t="b">
        <v>1</v>
      </c>
      <c r="N1010" s="17">
        <f t="shared" si="15"/>
        <v>44632</v>
      </c>
      <c r="O1010" t="str">
        <f>LEFT(Table1[[#This Row],[Department_Region]], FIND("-", Table1[[#This Row],[Department_Region]]) - 1)</f>
        <v>Admin</v>
      </c>
      <c r="P1010" t="str">
        <f>RIGHT(Table1[[#This Row],[Department_Region]],LEN(Table1[[#This Row],[Department_Region]]) - FIND("-",Table1[[#This Row],[Department_Region]]))</f>
        <v>Nevada</v>
      </c>
      <c r="Q101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10" s="15"/>
    </row>
    <row r="1011" spans="1:18" x14ac:dyDescent="0.2">
      <c r="A1011" s="1">
        <v>1009</v>
      </c>
      <c r="B1011" s="6" t="s">
        <v>1639</v>
      </c>
      <c r="C1011" t="s">
        <v>59</v>
      </c>
      <c r="D1011" t="s">
        <v>43</v>
      </c>
      <c r="E1011">
        <v>32</v>
      </c>
      <c r="F1011" t="s">
        <v>269</v>
      </c>
      <c r="G1011" t="s">
        <v>28</v>
      </c>
      <c r="H1011" s="6" t="s">
        <v>1712</v>
      </c>
      <c r="I1011" s="11">
        <v>62603.98</v>
      </c>
      <c r="J1011" t="s">
        <v>102</v>
      </c>
      <c r="K1011">
        <v>-7315391148</v>
      </c>
      <c r="L1011" t="s">
        <v>41</v>
      </c>
      <c r="M1011" t="b">
        <v>0</v>
      </c>
      <c r="N1011" s="17">
        <f t="shared" si="15"/>
        <v>45454</v>
      </c>
      <c r="O1011" t="str">
        <f>LEFT(Table1[[#This Row],[Department_Region]], FIND("-", Table1[[#This Row],[Department_Region]]) - 1)</f>
        <v>Finance</v>
      </c>
      <c r="P1011" t="str">
        <f>RIGHT(Table1[[#This Row],[Department_Region]],LEN(Table1[[#This Row],[Department_Region]]) - FIND("-",Table1[[#This Row],[Department_Region]]))</f>
        <v>Illinois</v>
      </c>
      <c r="Q101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11" s="15"/>
    </row>
    <row r="1012" spans="1:18" x14ac:dyDescent="0.2">
      <c r="A1012" s="1">
        <v>1010</v>
      </c>
      <c r="B1012" s="6" t="s">
        <v>1640</v>
      </c>
      <c r="C1012" t="s">
        <v>13</v>
      </c>
      <c r="D1012" t="s">
        <v>26</v>
      </c>
      <c r="E1012">
        <v>35</v>
      </c>
      <c r="F1012" t="s">
        <v>222</v>
      </c>
      <c r="G1012" t="s">
        <v>16</v>
      </c>
      <c r="H1012" s="6" t="s">
        <v>1682</v>
      </c>
      <c r="I1012" s="11">
        <v>71148.27</v>
      </c>
      <c r="J1012" t="s">
        <v>50</v>
      </c>
      <c r="K1012">
        <v>-8307482072</v>
      </c>
      <c r="L1012" t="s">
        <v>18</v>
      </c>
      <c r="M1012" t="b">
        <v>0</v>
      </c>
      <c r="N1012" s="17">
        <f t="shared" si="15"/>
        <v>45453</v>
      </c>
      <c r="O1012" t="str">
        <f>LEFT(Table1[[#This Row],[Department_Region]], FIND("-", Table1[[#This Row],[Department_Region]]) - 1)</f>
        <v>Sales</v>
      </c>
      <c r="P1012" t="str">
        <f>RIGHT(Table1[[#This Row],[Department_Region]],LEN(Table1[[#This Row],[Department_Region]]) - FIND("-",Table1[[#This Row],[Department_Region]]))</f>
        <v>Nevada</v>
      </c>
      <c r="Q1012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12" s="15"/>
    </row>
    <row r="1013" spans="1:18" x14ac:dyDescent="0.2">
      <c r="A1013" s="1">
        <v>1011</v>
      </c>
      <c r="B1013" s="6" t="s">
        <v>1641</v>
      </c>
      <c r="C1013" t="s">
        <v>59</v>
      </c>
      <c r="D1013" t="s">
        <v>26</v>
      </c>
      <c r="E1013">
        <v>40</v>
      </c>
      <c r="F1013" t="s">
        <v>120</v>
      </c>
      <c r="G1013" t="s">
        <v>33</v>
      </c>
      <c r="H1013" s="6" t="s">
        <v>227</v>
      </c>
      <c r="I1013" s="11">
        <v>52031.74</v>
      </c>
      <c r="J1013" t="s">
        <v>246</v>
      </c>
      <c r="K1013">
        <v>-6511893939</v>
      </c>
      <c r="L1013" t="s">
        <v>23</v>
      </c>
      <c r="M1013" t="b">
        <v>1</v>
      </c>
      <c r="N1013" s="17">
        <f t="shared" si="15"/>
        <v>44825</v>
      </c>
      <c r="O1013" t="str">
        <f>LEFT(Table1[[#This Row],[Department_Region]], FIND("-", Table1[[#This Row],[Department_Region]]) - 1)</f>
        <v>Admin</v>
      </c>
      <c r="P1013" t="str">
        <f>RIGHT(Table1[[#This Row],[Department_Region]],LEN(Table1[[#This Row],[Department_Region]]) - FIND("-",Table1[[#This Row],[Department_Region]]))</f>
        <v>California</v>
      </c>
      <c r="Q1013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13" s="15"/>
    </row>
    <row r="1014" spans="1:18" x14ac:dyDescent="0.2">
      <c r="A1014" s="1">
        <v>1012</v>
      </c>
      <c r="B1014" s="6" t="s">
        <v>1642</v>
      </c>
      <c r="C1014" t="s">
        <v>69</v>
      </c>
      <c r="D1014" t="s">
        <v>93</v>
      </c>
      <c r="E1014">
        <v>35</v>
      </c>
      <c r="F1014" t="s">
        <v>233</v>
      </c>
      <c r="G1014" t="s">
        <v>33</v>
      </c>
      <c r="H1014" s="6" t="s">
        <v>1118</v>
      </c>
      <c r="I1014" s="11">
        <v>85165.05</v>
      </c>
      <c r="J1014" t="s">
        <v>170</v>
      </c>
      <c r="K1014">
        <v>-6557820189</v>
      </c>
      <c r="L1014" t="s">
        <v>18</v>
      </c>
      <c r="M1014" t="b">
        <v>0</v>
      </c>
      <c r="N1014" s="17">
        <f t="shared" si="15"/>
        <v>45031</v>
      </c>
      <c r="O1014" t="str">
        <f>LEFT(Table1[[#This Row],[Department_Region]], FIND("-", Table1[[#This Row],[Department_Region]]) - 1)</f>
        <v>DevOps</v>
      </c>
      <c r="P1014" t="str">
        <f>RIGHT(Table1[[#This Row],[Department_Region]],LEN(Table1[[#This Row],[Department_Region]]) - FIND("-",Table1[[#This Row],[Department_Region]]))</f>
        <v>Florida</v>
      </c>
      <c r="Q1014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14" s="15"/>
    </row>
    <row r="1015" spans="1:18" x14ac:dyDescent="0.2">
      <c r="A1015" s="1">
        <v>1013</v>
      </c>
      <c r="B1015" s="6" t="s">
        <v>1643</v>
      </c>
      <c r="C1015" t="s">
        <v>32</v>
      </c>
      <c r="D1015" t="s">
        <v>38</v>
      </c>
      <c r="E1015">
        <v>32</v>
      </c>
      <c r="F1015" t="s">
        <v>195</v>
      </c>
      <c r="G1015" t="s">
        <v>28</v>
      </c>
      <c r="H1015" s="6" t="s">
        <v>1932</v>
      </c>
      <c r="I1015" s="11">
        <v>116680.63</v>
      </c>
      <c r="J1015" t="s">
        <v>143</v>
      </c>
      <c r="K1015">
        <v>-4322302332</v>
      </c>
      <c r="L1015" t="s">
        <v>30</v>
      </c>
      <c r="M1015" t="b">
        <v>0</v>
      </c>
      <c r="N1015" s="17">
        <f t="shared" si="15"/>
        <v>43867</v>
      </c>
      <c r="O1015" t="str">
        <f>LEFT(Table1[[#This Row],[Department_Region]], FIND("-", Table1[[#This Row],[Department_Region]]) - 1)</f>
        <v>HR</v>
      </c>
      <c r="P1015" t="str">
        <f>RIGHT(Table1[[#This Row],[Department_Region]],LEN(Table1[[#This Row],[Department_Region]]) - FIND("-",Table1[[#This Row],[Department_Region]]))</f>
        <v>Illinois</v>
      </c>
      <c r="Q1015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15" s="15"/>
    </row>
    <row r="1016" spans="1:18" x14ac:dyDescent="0.2">
      <c r="A1016" s="1">
        <v>1014</v>
      </c>
      <c r="B1016" s="6" t="s">
        <v>1644</v>
      </c>
      <c r="C1016" t="s">
        <v>69</v>
      </c>
      <c r="D1016" t="s">
        <v>26</v>
      </c>
      <c r="E1016">
        <v>30</v>
      </c>
      <c r="F1016" t="s">
        <v>101</v>
      </c>
      <c r="G1016" t="s">
        <v>28</v>
      </c>
      <c r="H1016" s="6" t="s">
        <v>1547</v>
      </c>
      <c r="I1016" s="11">
        <v>51990.98</v>
      </c>
      <c r="J1016" t="s">
        <v>77</v>
      </c>
      <c r="K1016">
        <v>-2470739200</v>
      </c>
      <c r="L1016" t="s">
        <v>23</v>
      </c>
      <c r="M1016" t="b">
        <v>1</v>
      </c>
      <c r="N1016" s="17">
        <f t="shared" si="15"/>
        <v>44332</v>
      </c>
      <c r="O1016" t="str">
        <f>LEFT(Table1[[#This Row],[Department_Region]], FIND("-", Table1[[#This Row],[Department_Region]]) - 1)</f>
        <v>Finance</v>
      </c>
      <c r="P1016" t="str">
        <f>RIGHT(Table1[[#This Row],[Department_Region]],LEN(Table1[[#This Row],[Department_Region]]) - FIND("-",Table1[[#This Row],[Department_Region]]))</f>
        <v>Nevada</v>
      </c>
      <c r="Q1016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016" s="15"/>
    </row>
    <row r="1017" spans="1:18" x14ac:dyDescent="0.2">
      <c r="A1017" s="1">
        <v>1015</v>
      </c>
      <c r="B1017" s="6" t="s">
        <v>1645</v>
      </c>
      <c r="C1017" t="s">
        <v>59</v>
      </c>
      <c r="D1017" t="s">
        <v>93</v>
      </c>
      <c r="E1017">
        <v>30</v>
      </c>
      <c r="F1017" t="s">
        <v>148</v>
      </c>
      <c r="G1017" t="s">
        <v>16</v>
      </c>
      <c r="H1017" s="6" t="s">
        <v>1044</v>
      </c>
      <c r="I1017" s="11">
        <v>85165.05</v>
      </c>
      <c r="J1017" t="s">
        <v>108</v>
      </c>
      <c r="K1017">
        <v>-3546212759</v>
      </c>
      <c r="L1017" t="s">
        <v>30</v>
      </c>
      <c r="M1017" t="b">
        <v>1</v>
      </c>
      <c r="N1017" s="17">
        <f t="shared" si="15"/>
        <v>45157</v>
      </c>
      <c r="O1017" t="str">
        <f>LEFT(Table1[[#This Row],[Department_Region]], FIND("-", Table1[[#This Row],[Department_Region]]) - 1)</f>
        <v>HR</v>
      </c>
      <c r="P1017" t="str">
        <f>RIGHT(Table1[[#This Row],[Department_Region]],LEN(Table1[[#This Row],[Department_Region]]) - FIND("-",Table1[[#This Row],[Department_Region]]))</f>
        <v>California</v>
      </c>
      <c r="Q1017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17" s="15"/>
    </row>
    <row r="1018" spans="1:18" x14ac:dyDescent="0.2">
      <c r="A1018" s="1">
        <v>1016</v>
      </c>
      <c r="B1018" s="6" t="s">
        <v>1646</v>
      </c>
      <c r="C1018" t="s">
        <v>59</v>
      </c>
      <c r="D1018" t="s">
        <v>55</v>
      </c>
      <c r="E1018">
        <v>30</v>
      </c>
      <c r="F1018" t="s">
        <v>161</v>
      </c>
      <c r="G1018" t="s">
        <v>33</v>
      </c>
      <c r="H1018" s="6" t="s">
        <v>1700</v>
      </c>
      <c r="I1018" s="11">
        <v>100215.06</v>
      </c>
      <c r="J1018" t="s">
        <v>220</v>
      </c>
      <c r="K1018">
        <v>-2508261122</v>
      </c>
      <c r="L1018" t="s">
        <v>30</v>
      </c>
      <c r="M1018" t="b">
        <v>1</v>
      </c>
      <c r="N1018" s="17">
        <f t="shared" si="15"/>
        <v>44507</v>
      </c>
      <c r="O1018" t="str">
        <f>LEFT(Table1[[#This Row],[Department_Region]], FIND("-", Table1[[#This Row],[Department_Region]]) - 1)</f>
        <v>Cloud Tech</v>
      </c>
      <c r="P1018" t="str">
        <f>RIGHT(Table1[[#This Row],[Department_Region]],LEN(Table1[[#This Row],[Department_Region]]) - FIND("-",Table1[[#This Row],[Department_Region]]))</f>
        <v>Texas</v>
      </c>
      <c r="Q1018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18" s="15"/>
    </row>
    <row r="1019" spans="1:18" x14ac:dyDescent="0.2">
      <c r="A1019" s="1">
        <v>1017</v>
      </c>
      <c r="B1019" s="6" t="s">
        <v>1647</v>
      </c>
      <c r="C1019" t="s">
        <v>54</v>
      </c>
      <c r="D1019" t="s">
        <v>38</v>
      </c>
      <c r="E1019">
        <v>40</v>
      </c>
      <c r="F1019" t="s">
        <v>230</v>
      </c>
      <c r="G1019" t="s">
        <v>16</v>
      </c>
      <c r="H1019" s="6" t="s">
        <v>1914</v>
      </c>
      <c r="I1019" s="11">
        <v>114587.11</v>
      </c>
      <c r="J1019" t="s">
        <v>91</v>
      </c>
      <c r="K1019">
        <v>-1261632487</v>
      </c>
      <c r="L1019" t="s">
        <v>18</v>
      </c>
      <c r="M1019" t="b">
        <v>0</v>
      </c>
      <c r="N1019" s="17">
        <f t="shared" si="15"/>
        <v>45203</v>
      </c>
      <c r="O1019" t="str">
        <f>LEFT(Table1[[#This Row],[Department_Region]], FIND("-", Table1[[#This Row],[Department_Region]]) - 1)</f>
        <v>Finance</v>
      </c>
      <c r="P1019" t="str">
        <f>RIGHT(Table1[[#This Row],[Department_Region]],LEN(Table1[[#This Row],[Department_Region]]) - FIND("-",Table1[[#This Row],[Department_Region]]))</f>
        <v>New York</v>
      </c>
      <c r="Q1019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Overpaid</v>
      </c>
      <c r="R1019" s="15"/>
    </row>
    <row r="1020" spans="1:18" x14ac:dyDescent="0.2">
      <c r="A1020" s="1">
        <v>1018</v>
      </c>
      <c r="B1020" s="6" t="s">
        <v>1648</v>
      </c>
      <c r="C1020" t="s">
        <v>25</v>
      </c>
      <c r="D1020" t="s">
        <v>43</v>
      </c>
      <c r="E1020">
        <v>30</v>
      </c>
      <c r="F1020" t="s">
        <v>215</v>
      </c>
      <c r="G1020" t="s">
        <v>33</v>
      </c>
      <c r="H1020" s="6" t="s">
        <v>1305</v>
      </c>
      <c r="I1020" s="11">
        <v>71318.789999999994</v>
      </c>
      <c r="J1020" t="s">
        <v>45</v>
      </c>
      <c r="K1020">
        <v>-8995729892</v>
      </c>
      <c r="L1020" t="s">
        <v>30</v>
      </c>
      <c r="M1020" t="b">
        <v>1</v>
      </c>
      <c r="N1020" s="17">
        <f t="shared" si="15"/>
        <v>45642</v>
      </c>
      <c r="O1020" t="str">
        <f>LEFT(Table1[[#This Row],[Department_Region]], FIND("-", Table1[[#This Row],[Department_Region]]) - 1)</f>
        <v>HR</v>
      </c>
      <c r="P1020" t="str">
        <f>RIGHT(Table1[[#This Row],[Department_Region]],LEN(Table1[[#This Row],[Department_Region]]) - FIND("-",Table1[[#This Row],[Department_Region]]))</f>
        <v>Florida</v>
      </c>
      <c r="Q1020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Standart</v>
      </c>
      <c r="R1020" s="15"/>
    </row>
    <row r="1021" spans="1:18" x14ac:dyDescent="0.2">
      <c r="A1021" s="1">
        <v>1019</v>
      </c>
      <c r="B1021" s="6" t="s">
        <v>1649</v>
      </c>
      <c r="C1021" t="s">
        <v>65</v>
      </c>
      <c r="D1021" t="s">
        <v>26</v>
      </c>
      <c r="E1021">
        <v>30</v>
      </c>
      <c r="F1021" t="s">
        <v>79</v>
      </c>
      <c r="G1021" t="s">
        <v>28</v>
      </c>
      <c r="H1021" s="6" t="s">
        <v>645</v>
      </c>
      <c r="I1021" s="11">
        <v>77764.240000000005</v>
      </c>
      <c r="J1021" t="s">
        <v>324</v>
      </c>
      <c r="K1021">
        <v>-7629745492</v>
      </c>
      <c r="L1021" t="s">
        <v>18</v>
      </c>
      <c r="M1021" t="b">
        <v>0</v>
      </c>
      <c r="N1021" s="17">
        <f t="shared" si="15"/>
        <v>44249</v>
      </c>
      <c r="O1021" t="str">
        <f>LEFT(Table1[[#This Row],[Department_Region]], FIND("-", Table1[[#This Row],[Department_Region]]) - 1)</f>
        <v>DevOps</v>
      </c>
      <c r="P1021" t="str">
        <f>RIGHT(Table1[[#This Row],[Department_Region]],LEN(Table1[[#This Row],[Department_Region]]) - FIND("-",Table1[[#This Row],[Department_Region]]))</f>
        <v>Illinois</v>
      </c>
      <c r="Q1021" t="str">
        <f>IF(Table1[[#This Row],[Salary]] &lt; VLOOKUP(Table1[[#This Row],[Department]], SALARY!$A$2:$C$7, 2, FALSE), "Underpaid", IF(Table1[[#This Row],[Salary]] &gt; VLOOKUP(Table1[[#This Row],[Department]], SALARY!$A$2:$C$7, 3, FALSE), "Overpaid", "Standart"))</f>
        <v>Underpaid</v>
      </c>
      <c r="R1021" s="15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B140-DA31-9140-9D3E-26BA1A10638B}">
  <dimension ref="A1:H40"/>
  <sheetViews>
    <sheetView zoomScale="75" workbookViewId="0">
      <selection activeCell="G6" sqref="G6"/>
    </sheetView>
  </sheetViews>
  <sheetFormatPr baseColWidth="10" defaultRowHeight="15" x14ac:dyDescent="0.2"/>
  <cols>
    <col min="1" max="1" width="28.83203125" customWidth="1"/>
    <col min="2" max="2" width="54" customWidth="1"/>
    <col min="3" max="3" width="14.5" customWidth="1"/>
    <col min="4" max="4" width="7.83203125" customWidth="1"/>
    <col min="5" max="5" width="11.1640625" customWidth="1"/>
  </cols>
  <sheetData>
    <row r="1" spans="1:7" x14ac:dyDescent="0.2">
      <c r="C1" s="3"/>
      <c r="D1" s="3"/>
      <c r="E1" s="3"/>
      <c r="F1" s="3"/>
      <c r="G1" s="3"/>
    </row>
    <row r="2" spans="1:7" x14ac:dyDescent="0.2">
      <c r="C2" s="3"/>
      <c r="D2" s="3"/>
      <c r="E2" s="3"/>
      <c r="F2" s="3"/>
      <c r="G2" s="3"/>
    </row>
    <row r="3" spans="1:7" x14ac:dyDescent="0.2">
      <c r="C3" s="3"/>
      <c r="D3" s="3"/>
      <c r="E3" s="3"/>
      <c r="F3" s="3"/>
      <c r="G3" s="3"/>
    </row>
    <row r="4" spans="1:7" x14ac:dyDescent="0.2">
      <c r="C4" s="3"/>
      <c r="D4" s="3"/>
      <c r="E4" s="3"/>
      <c r="F4" s="3"/>
      <c r="G4" s="3"/>
    </row>
    <row r="5" spans="1:7" x14ac:dyDescent="0.2">
      <c r="A5" s="3"/>
      <c r="B5" s="3"/>
      <c r="C5" s="3"/>
      <c r="D5" s="3"/>
      <c r="E5" s="3"/>
      <c r="F5" s="3"/>
      <c r="G5" s="3"/>
    </row>
    <row r="6" spans="1:7" x14ac:dyDescent="0.2">
      <c r="A6" s="3"/>
      <c r="B6" s="3"/>
      <c r="C6" s="3"/>
      <c r="D6" s="3"/>
      <c r="E6" s="3"/>
      <c r="F6" s="3"/>
      <c r="G6" s="3"/>
    </row>
    <row r="7" spans="1:7" x14ac:dyDescent="0.2">
      <c r="A7" s="9" t="s">
        <v>1661</v>
      </c>
      <c r="B7" s="9" t="s">
        <v>1668</v>
      </c>
      <c r="C7" s="9" t="s">
        <v>1667</v>
      </c>
      <c r="D7" s="8" t="s">
        <v>1670</v>
      </c>
      <c r="E7" s="8" t="s">
        <v>1669</v>
      </c>
      <c r="F7" s="12" t="s">
        <v>1957</v>
      </c>
    </row>
    <row r="8" spans="1:7" x14ac:dyDescent="0.2">
      <c r="A8" s="4" t="s">
        <v>0</v>
      </c>
      <c r="B8" s="8" t="s">
        <v>1662</v>
      </c>
      <c r="C8" s="8">
        <v>0</v>
      </c>
      <c r="D8" s="8">
        <v>0</v>
      </c>
      <c r="E8" s="8">
        <v>0</v>
      </c>
      <c r="F8" s="8">
        <v>0</v>
      </c>
    </row>
    <row r="9" spans="1:7" x14ac:dyDescent="0.2">
      <c r="A9" s="4" t="s">
        <v>1</v>
      </c>
      <c r="B9" s="8" t="s">
        <v>1662</v>
      </c>
      <c r="C9" s="8">
        <v>0</v>
      </c>
      <c r="D9" s="8">
        <v>0</v>
      </c>
      <c r="E9" s="8">
        <v>0</v>
      </c>
      <c r="F9" s="8">
        <v>0</v>
      </c>
    </row>
    <row r="10" spans="1:7" x14ac:dyDescent="0.2">
      <c r="A10" s="4" t="s">
        <v>2</v>
      </c>
      <c r="B10" s="8" t="s">
        <v>1662</v>
      </c>
      <c r="C10" s="8">
        <v>0</v>
      </c>
      <c r="D10" s="8"/>
      <c r="E10" s="8"/>
      <c r="F10" s="8"/>
    </row>
    <row r="11" spans="1:7" x14ac:dyDescent="0.2">
      <c r="A11" s="4" t="s">
        <v>3</v>
      </c>
      <c r="B11" s="8" t="s">
        <v>1663</v>
      </c>
      <c r="C11" s="8">
        <v>211</v>
      </c>
      <c r="D11" s="8">
        <f>MIN(Table1[Age])</f>
        <v>25</v>
      </c>
      <c r="E11" s="8">
        <f>MAX(Table1[Age])</f>
        <v>40</v>
      </c>
      <c r="F11" s="12">
        <f>ROUND(AVERAGE(Table1[Age]),0)</f>
        <v>32</v>
      </c>
    </row>
    <row r="12" spans="1:7" x14ac:dyDescent="0.2">
      <c r="A12" s="4" t="s">
        <v>4</v>
      </c>
      <c r="B12" s="8" t="s">
        <v>1662</v>
      </c>
      <c r="C12" s="8">
        <v>0</v>
      </c>
      <c r="D12" s="8">
        <v>0</v>
      </c>
      <c r="E12" s="8">
        <v>0</v>
      </c>
      <c r="F12" s="8">
        <v>0</v>
      </c>
    </row>
    <row r="13" spans="1:7" x14ac:dyDescent="0.2">
      <c r="A13" s="4" t="s">
        <v>5</v>
      </c>
      <c r="B13" s="8" t="s">
        <v>1662</v>
      </c>
      <c r="C13" s="8">
        <v>0</v>
      </c>
      <c r="D13" s="8">
        <v>0</v>
      </c>
      <c r="E13" s="8">
        <v>0</v>
      </c>
      <c r="F13" s="8">
        <v>0</v>
      </c>
    </row>
    <row r="14" spans="1:7" x14ac:dyDescent="0.2">
      <c r="A14" s="4" t="s">
        <v>6</v>
      </c>
      <c r="B14" s="8" t="s">
        <v>1662</v>
      </c>
      <c r="C14" s="8">
        <v>0</v>
      </c>
      <c r="D14" s="8">
        <v>0</v>
      </c>
      <c r="E14" s="8">
        <v>0</v>
      </c>
      <c r="F14" s="8">
        <v>0</v>
      </c>
    </row>
    <row r="15" spans="1:7" x14ac:dyDescent="0.2">
      <c r="A15" s="4" t="s">
        <v>7</v>
      </c>
      <c r="B15" s="8" t="s">
        <v>1663</v>
      </c>
      <c r="C15" s="8">
        <v>24</v>
      </c>
      <c r="D15" s="21">
        <f>MIN(Table1[Salary])</f>
        <v>50047.32</v>
      </c>
      <c r="E15" s="21">
        <f>MAX(Table1[Salary])</f>
        <v>119971.65</v>
      </c>
      <c r="F15" s="22">
        <f>ROUND(AVERAGE(Sheet1!I2:I1015),2)</f>
        <v>85165.05</v>
      </c>
    </row>
    <row r="16" spans="1:7" x14ac:dyDescent="0.2">
      <c r="A16" s="4" t="s">
        <v>8</v>
      </c>
      <c r="B16" s="8" t="s">
        <v>1662</v>
      </c>
      <c r="C16" s="8">
        <v>0</v>
      </c>
      <c r="D16" s="8">
        <v>0</v>
      </c>
      <c r="E16" s="8">
        <v>0</v>
      </c>
      <c r="F16" s="8">
        <v>0</v>
      </c>
    </row>
    <row r="17" spans="1:8" x14ac:dyDescent="0.2">
      <c r="A17" s="4" t="s">
        <v>9</v>
      </c>
      <c r="B17" s="8" t="s">
        <v>1663</v>
      </c>
      <c r="C17" s="8">
        <v>0</v>
      </c>
      <c r="D17" s="8">
        <v>0</v>
      </c>
      <c r="E17" s="8">
        <v>0</v>
      </c>
      <c r="F17" s="8">
        <v>0</v>
      </c>
    </row>
    <row r="18" spans="1:8" x14ac:dyDescent="0.2">
      <c r="A18" s="4" t="s">
        <v>10</v>
      </c>
      <c r="B18" s="8" t="s">
        <v>1662</v>
      </c>
      <c r="C18" s="8">
        <v>0</v>
      </c>
      <c r="D18" s="8">
        <v>0</v>
      </c>
      <c r="E18" s="8">
        <v>0</v>
      </c>
      <c r="F18" s="8">
        <v>0</v>
      </c>
    </row>
    <row r="19" spans="1:8" x14ac:dyDescent="0.2">
      <c r="A19" s="4" t="s">
        <v>11</v>
      </c>
      <c r="B19" s="8" t="s">
        <v>1664</v>
      </c>
      <c r="C19" s="8">
        <v>0</v>
      </c>
      <c r="D19" s="8">
        <v>0</v>
      </c>
      <c r="E19" s="8">
        <v>0</v>
      </c>
      <c r="F19" s="8">
        <v>0</v>
      </c>
    </row>
    <row r="20" spans="1:8" x14ac:dyDescent="0.2">
      <c r="A20" s="3"/>
      <c r="B20" s="3"/>
      <c r="C20" s="3"/>
      <c r="D20" s="3"/>
      <c r="E20" s="3"/>
      <c r="F20" s="3"/>
      <c r="G20" s="3"/>
    </row>
    <row r="22" spans="1:8" x14ac:dyDescent="0.2">
      <c r="G22">
        <v>32</v>
      </c>
      <c r="H22">
        <v>85165.05</v>
      </c>
    </row>
    <row r="25" spans="1:8" x14ac:dyDescent="0.2">
      <c r="B25" t="s">
        <v>1958</v>
      </c>
      <c r="C25" t="s">
        <v>1959</v>
      </c>
    </row>
    <row r="26" spans="1:8" x14ac:dyDescent="0.2">
      <c r="A26" s="8" t="s">
        <v>1659</v>
      </c>
      <c r="B26" s="8">
        <v>1020</v>
      </c>
      <c r="C26" s="8">
        <v>1020</v>
      </c>
    </row>
    <row r="27" spans="1:8" x14ac:dyDescent="0.2">
      <c r="A27" s="8" t="s">
        <v>1660</v>
      </c>
      <c r="B27" s="8">
        <v>12</v>
      </c>
      <c r="C27" s="8">
        <v>12</v>
      </c>
    </row>
    <row r="28" spans="1:8" x14ac:dyDescent="0.2">
      <c r="A28" s="8" t="s">
        <v>1665</v>
      </c>
      <c r="B28" s="8">
        <v>0</v>
      </c>
      <c r="C28" s="8">
        <v>0</v>
      </c>
    </row>
    <row r="29" spans="1:8" x14ac:dyDescent="0.2">
      <c r="A29" s="8" t="s">
        <v>1667</v>
      </c>
      <c r="B29" s="8">
        <f>COUNTBLANK(Table1[[Employee_ID]:[Remote_Work]])</f>
        <v>0</v>
      </c>
      <c r="C29" s="8">
        <f>COUNTBLANK(Table1[[Employee_ID]:[Remote_Work]])</f>
        <v>0</v>
      </c>
    </row>
    <row r="30" spans="1:8" x14ac:dyDescent="0.2">
      <c r="B30" s="7"/>
      <c r="C30" s="7"/>
    </row>
    <row r="31" spans="1:8" x14ac:dyDescent="0.2">
      <c r="B31" s="7"/>
      <c r="C31" s="7"/>
    </row>
    <row r="32" spans="1:8" x14ac:dyDescent="0.2">
      <c r="B32" s="7"/>
      <c r="C32" s="7"/>
    </row>
    <row r="33" spans="2:3" x14ac:dyDescent="0.2">
      <c r="B33" s="7"/>
      <c r="C33" s="7"/>
    </row>
    <row r="34" spans="2:3" x14ac:dyDescent="0.2">
      <c r="B34" s="7"/>
      <c r="C34" s="7"/>
    </row>
    <row r="35" spans="2:3" x14ac:dyDescent="0.2">
      <c r="B35" s="7"/>
      <c r="C35" s="7"/>
    </row>
    <row r="36" spans="2:3" x14ac:dyDescent="0.2">
      <c r="B36" s="7"/>
      <c r="C36" s="7"/>
    </row>
    <row r="37" spans="2:3" x14ac:dyDescent="0.2">
      <c r="B37" s="7"/>
      <c r="C37" s="7"/>
    </row>
    <row r="38" spans="2:3" x14ac:dyDescent="0.2">
      <c r="B38" s="7"/>
      <c r="C38" s="7"/>
    </row>
    <row r="39" spans="2:3" x14ac:dyDescent="0.2">
      <c r="B39" s="7"/>
      <c r="C39" s="7"/>
    </row>
    <row r="40" spans="2:3" x14ac:dyDescent="0.2">
      <c r="B40" s="7"/>
      <c r="C40" s="7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52AB-6464-4732-941E-440AB7D9BD96}">
  <dimension ref="A1:C7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19.33203125" customWidth="1"/>
  </cols>
  <sheetData>
    <row r="1" spans="1:3" x14ac:dyDescent="0.2">
      <c r="A1" s="2" t="s">
        <v>1650</v>
      </c>
      <c r="B1" s="2" t="s">
        <v>1651</v>
      </c>
      <c r="C1" s="2" t="s">
        <v>1652</v>
      </c>
    </row>
    <row r="2" spans="1:3" x14ac:dyDescent="0.2">
      <c r="A2" t="s">
        <v>1653</v>
      </c>
      <c r="B2">
        <v>40000</v>
      </c>
      <c r="C2">
        <v>75000</v>
      </c>
    </row>
    <row r="3" spans="1:3" x14ac:dyDescent="0.2">
      <c r="A3" t="s">
        <v>1654</v>
      </c>
      <c r="B3">
        <v>80000</v>
      </c>
      <c r="C3">
        <v>130000</v>
      </c>
    </row>
    <row r="4" spans="1:3" x14ac:dyDescent="0.2">
      <c r="A4" t="s">
        <v>1655</v>
      </c>
      <c r="B4">
        <v>85000</v>
      </c>
      <c r="C4">
        <v>140000</v>
      </c>
    </row>
    <row r="5" spans="1:3" x14ac:dyDescent="0.2">
      <c r="A5" t="s">
        <v>1656</v>
      </c>
      <c r="B5">
        <v>60000</v>
      </c>
      <c r="C5">
        <v>105000</v>
      </c>
    </row>
    <row r="6" spans="1:3" x14ac:dyDescent="0.2">
      <c r="A6" t="s">
        <v>1657</v>
      </c>
      <c r="B6">
        <v>50000</v>
      </c>
      <c r="C6">
        <v>85000</v>
      </c>
    </row>
    <row r="7" spans="1:3" x14ac:dyDescent="0.2">
      <c r="A7" t="s">
        <v>1658</v>
      </c>
      <c r="B7">
        <v>45000</v>
      </c>
      <c r="C7">
        <v>95000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Description data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2026-03-11T05:04:43Z</dcterms:created>
  <dcterms:modified xsi:type="dcterms:W3CDTF">2026-10-27T07:57:45Z</dcterms:modified>
</cp:coreProperties>
</file>